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3740" tabRatio="477" activeTab="1"/>
  </bookViews>
  <sheets>
    <sheet name="数据包格式" sheetId="2" r:id="rId1"/>
    <sheet name="指令表B4=0（通用版)" sheetId="3" r:id="rId2"/>
  </sheets>
  <definedNames>
    <definedName name="_xlnm.Print_Area" localSheetId="1">'指令表B4=0（通用版)'!$A$82:$H$85</definedName>
  </definedNames>
  <calcPr calcId="144525"/>
</workbook>
</file>

<file path=xl/sharedStrings.xml><?xml version="1.0" encoding="utf-8"?>
<sst xmlns="http://schemas.openxmlformats.org/spreadsheetml/2006/main" count="331" uniqueCount="259">
  <si>
    <t>串口/USB/以太网通讯数据包格式:</t>
  </si>
  <si>
    <t>起始字节(B0)</t>
  </si>
  <si>
    <t>地址(B1)</t>
  </si>
  <si>
    <t>包长(B2)</t>
  </si>
  <si>
    <t>指令码1(B3)</t>
  </si>
  <si>
    <t>指令码2(B4)</t>
  </si>
  <si>
    <t>数据段(B5,B6,…Bn)
多字节可选</t>
  </si>
  <si>
    <t>校验</t>
  </si>
  <si>
    <t>固定为:0xAA</t>
  </si>
  <si>
    <t>0为广播(当地址为0时,全部下位机动作,设定地址时可用广播)
1～255为下位机地址</t>
  </si>
  <si>
    <t>数据包长度(从起始字节到校验字节的长度)</t>
  </si>
  <si>
    <t>0～255条指令
每个指令码可指定一个动作(详见UART指令表)
指令码应以功能列表中的功能编号为准并严格对应!</t>
  </si>
  <si>
    <t>0(为指令扩展备用)B3 与B4最多扩展65536条指令</t>
  </si>
  <si>
    <t>数据段数据格式见指令列表</t>
  </si>
  <si>
    <t>从起始字节到数据段的字节异或</t>
  </si>
  <si>
    <t>数据表示方案</t>
  </si>
  <si>
    <t xml:space="preserve"> 'O':开环,'C':闭环;    
'I':输入,'O':输出;    
'H':停止,'R':运行;    
'A':模拟,'D':数字;    
'Y':确认,'N'否定</t>
  </si>
  <si>
    <t xml:space="preserve">路(通道)编号:0,1,2,3…（最大支持256路）
波类型: 'Z':正弦波,'F':方波,'S':三角波,'J':锯齿波
</t>
  </si>
  <si>
    <t>数据处理方式</t>
  </si>
  <si>
    <t>通用版/压电螺钉</t>
  </si>
  <si>
    <t>直线马达/线性马达</t>
  </si>
  <si>
    <t>备注</t>
  </si>
  <si>
    <t>4个char转float</t>
  </si>
  <si>
    <t>float FourCharToFloat(uint8_t* ChPtr) {
    float f=0;
    f=(ChPtr[3]+(ChPtr[2]&lt;&lt;8))*0.0001 + ((ChPtr[0]&amp;0x7f)&lt;&lt;8) + ChPtr[1];
    if(ChPtr[0]&amp;0x80) f=-f;
    return f;
}</t>
  </si>
  <si>
    <t>void FourCharToF32(unsigned char* ch_ptr, float * f32_ptr)
{
    if((NULL != ch_ptr)&amp;&amp;(NULL != f32_ptr))
    {
		*f32_ptr=*(float *)ch_ptr;
    }
}</t>
  </si>
  <si>
    <t>float转4个char</t>
  </si>
  <si>
    <t>void FloatToFourChar(float* fPtr, uint8_t* ChPtr)
{
    float f;
    if(*fPtr&lt;0) f=0-(*fPtr);
    else f=*fPtr;
    ChPtr[3]=(uint32_t)((f-(uint32_t)f)*10000)%256;
    ChPtr[2]=(uint32_t)((f-(uint32_t)f)*10000)/256;
    ChPtr[1]=((uint32_t)f)%256;
    ChPtr[0]=((uint32_t)f)/256;
    if(*fPtr&lt;0)
        ChPtr[0]|=0x80;
}</t>
  </si>
  <si>
    <t>void F32ToFourChar(unsigned char* ch_ptr, float * f32_ptr)
{
     if((NULL != ch_ptr)&amp;&amp;(NULL != f32_ptr))
    {
		*(float *)ch_ptr=*f32_ptr;
    }
}</t>
  </si>
  <si>
    <t>指令码1
(B3)</t>
  </si>
  <si>
    <t>功能名称</t>
  </si>
  <si>
    <t>上位机</t>
  </si>
  <si>
    <t>下位机</t>
  </si>
  <si>
    <t>整包长</t>
  </si>
  <si>
    <t>数据段长</t>
  </si>
  <si>
    <t>数据段格式</t>
  </si>
  <si>
    <t>内部使用</t>
  </si>
  <si>
    <t>特殊</t>
  </si>
  <si>
    <t>不推荐使用</t>
  </si>
  <si>
    <t>单路电压</t>
  </si>
  <si>
    <t>[5]通道号;
[6,7,8,9]电压数据</t>
  </si>
  <si>
    <t>单路位移</t>
  </si>
  <si>
    <t>[5]通道号;
[6,7,8,9]位移数据</t>
  </si>
  <si>
    <t>同时发送三路电压</t>
  </si>
  <si>
    <t>[5,6,7,8]0通道电压数据;
[9,10,11,12]1通道电压数据;
[13,14,15,16]2通道电压数据</t>
  </si>
  <si>
    <t>同时发送三路位移</t>
  </si>
  <si>
    <t>[5,6,7,8]0通道位移数据;
[9,10,11,12]1通道位移数据;
[13,14,15,16]2通道位移数据</t>
  </si>
  <si>
    <t>多路清零</t>
  </si>
  <si>
    <t>读单路电压</t>
  </si>
  <si>
    <t>[5]通道号</t>
  </si>
  <si>
    <t>读单路位移</t>
  </si>
  <si>
    <t>实时读单路电压</t>
  </si>
  <si>
    <t>[5]通道号;
[6]发送周期(ms)</t>
  </si>
  <si>
    <t>实时读单路位移</t>
  </si>
  <si>
    <t>实时读三路电压</t>
  </si>
  <si>
    <t>[5]发送周期(ms)</t>
  </si>
  <si>
    <t>实时读三路位移</t>
  </si>
  <si>
    <t>停止实时读数据</t>
  </si>
  <si>
    <t>发单路高速电压波形</t>
  </si>
  <si>
    <t>[5]通道号;[6]波类型;
[7,8,9,10]峰峰值;
[11,12,13,14]频率;
[15,16,17,18]偏移;</t>
  </si>
  <si>
    <t>发单路高速位移波形</t>
  </si>
  <si>
    <t>停单路高速波形</t>
  </si>
  <si>
    <t>发单路并发电压波形</t>
  </si>
  <si>
    <t>发单路并发位移波形</t>
  </si>
  <si>
    <t>停单路并发波形</t>
  </si>
  <si>
    <t>开闭环</t>
  </si>
  <si>
    <t>[5]通道号;[6]开环/闭环;</t>
  </si>
  <si>
    <t>读开闭环</t>
  </si>
  <si>
    <t>模拟/数字切换</t>
  </si>
  <si>
    <t>[5]通道号;[6]模拟/数字</t>
  </si>
  <si>
    <t>读模拟数字</t>
  </si>
  <si>
    <t>IO状态切换</t>
  </si>
  <si>
    <t>[5]通道号;[6]I/O状态;</t>
  </si>
  <si>
    <t>仅E18有此功能</t>
  </si>
  <si>
    <t>读IO状态</t>
  </si>
  <si>
    <t>[5]通道号;[6]I/O状态</t>
  </si>
  <si>
    <t>标定某路负载</t>
  </si>
  <si>
    <t>[5]通道号;
[6,7,8,9]负载值;</t>
  </si>
  <si>
    <t>读某路负载</t>
  </si>
  <si>
    <t>[5]通道号;[6,7,8,9]负载值;</t>
  </si>
  <si>
    <t>标定某路位移高限</t>
  </si>
  <si>
    <t>[5]通道号;
[6,7,8,9]位移高限值;</t>
  </si>
  <si>
    <t>读某路位移高限</t>
  </si>
  <si>
    <t>标定某路功率</t>
  </si>
  <si>
    <t>[5]通道号;
[6,7,8,9]功率值;</t>
  </si>
  <si>
    <t>读某路功率</t>
  </si>
  <si>
    <t>标定系统电压低限</t>
  </si>
  <si>
    <t>[5]通道号[6,7,8,9]电压低限值;</t>
  </si>
  <si>
    <t>读系统电压低限</t>
  </si>
  <si>
    <t>标定系统电压高限</t>
  </si>
  <si>
    <t>[5]通道号[6,7,8,9]电压高限值;</t>
  </si>
  <si>
    <t>读系统电压高限</t>
  </si>
  <si>
    <t>标定系统位移低限</t>
  </si>
  <si>
    <t>[5]通道号[6,7,8,9]位移低限值;</t>
  </si>
  <si>
    <t>读系统位移低限</t>
  </si>
  <si>
    <t>启/停PID</t>
  </si>
  <si>
    <t>[5]通道号
[6]启动'R'/停止'H'</t>
  </si>
  <si>
    <t>功能不完善</t>
  </si>
  <si>
    <t>设置PID参数</t>
  </si>
  <si>
    <t>[5]通道号
[6,7,8,9]P参数;
[10,11,12,13]I参数;
[14,15,16,17]D参数;</t>
  </si>
  <si>
    <t>读PID参数</t>
  </si>
  <si>
    <t>开始自检</t>
  </si>
  <si>
    <t>仅光机所定制E70支持</t>
  </si>
  <si>
    <t>读取自检码</t>
  </si>
  <si>
    <t>[5]1路：0xA1 完全正常     0xA2 驱动正常 传感异常 0xA3 驱动传感全部异常[6]2路 [7]3路</t>
  </si>
  <si>
    <t>发自定义波形数据</t>
  </si>
  <si>
    <t>本包点数×4 +11</t>
  </si>
  <si>
    <t>本包点数×4 +5</t>
  </si>
  <si>
    <t>[5]波形编号;
[6]波类型(电压/位移);
[7]总点数;
[8]本包起始点数;
[9]本包结束点数;
[10……]点数据;
(总点数最多255,可分包传输)</t>
  </si>
  <si>
    <t>[5]确认/否定;</t>
  </si>
  <si>
    <t>没使用此命令</t>
  </si>
  <si>
    <t>启动自定义波形</t>
  </si>
  <si>
    <t>[5]通道号;
[6]波形编号;
[7,8,9,10]发点间隔时间(μs)
(间隔时间&gt;7μs)</t>
  </si>
  <si>
    <t>停止自定义波形</t>
  </si>
  <si>
    <t>写出厂信息</t>
  </si>
  <si>
    <t>[5......16]最大发送12个
字节
上位机实际发送数据为24位长数据从首位开始每两个数字为一个字节形式发送，每个字节发送数据范围00-99</t>
  </si>
  <si>
    <t>读出厂信息</t>
  </si>
  <si>
    <t>[5......16]最大发送12个
字节
实际发送数据为24位长整数。从首位开始每两个数字为一个字节形式发送，每个字节发送数据范围00-99</t>
  </si>
  <si>
    <t>设定地址</t>
  </si>
  <si>
    <t>[1]地址字节为0x00（广播）
[5]0xff
[6]欲设定地址
[7]'X'
[8]'M'
[9]'T'
[10]'K'
[11]'J'</t>
  </si>
  <si>
    <t>读地址</t>
  </si>
  <si>
    <t>[1]地址字节为0x00（广播）</t>
  </si>
  <si>
    <t>[5]当前本机地址</t>
  </si>
  <si>
    <t>实时读三路数据(由上位机指定每个通道发送电压或位移)</t>
  </si>
  <si>
    <t>[5]发送周期(ms)
[6]电压/位移bit标志:
  bit0: 0通道电压位移标志;
  bit1: 1通道电压位移标志;
  bit2: 2通道电压位移标志;
  0:电压; 1:位移</t>
  </si>
  <si>
    <t>[5,6,7,8]0通道数据
[9,10,11,12]1通道数据
[13,14,15,16]2通道数据</t>
  </si>
  <si>
    <t>实时读数据(由下位机根据开闭环状态确定每个通道电压或位移)</t>
  </si>
  <si>
    <t>[5]电压/位移bit标志
[6,7,8,9]0通道数据
[10,11,12,13]1通道数据
[14,15,16,17]3通道数据</t>
  </si>
  <si>
    <t>幅度校正</t>
  </si>
  <si>
    <t>读三路电压或位移</t>
  </si>
  <si>
    <t>读取电压位移限制百分比</t>
  </si>
  <si>
    <t xml:space="preserve">
</t>
  </si>
  <si>
    <t xml:space="preserve"> [5,6,7,8]数据--发送数据为0-1的小数</t>
  </si>
  <si>
    <t>停止使用</t>
  </si>
  <si>
    <t>读取下位机单位</t>
  </si>
  <si>
    <t xml:space="preserve">
</t>
  </si>
  <si>
    <t>[5] 0mrad 1位移 2 角秒3微弧度 4毫米 5纳米 6周期</t>
  </si>
  <si>
    <t>读取某一路波形启动停止速度（启动与停止速度一致）</t>
  </si>
  <si>
    <t xml:space="preserve">[5]通道 0:1路 1:2路 2:3路
</t>
  </si>
  <si>
    <t>[5]0:1路 1:2路 2:3路   [6]‘H’高速  ‘L’低速</t>
  </si>
  <si>
    <t>上位机设置某一路波形启动停止速度（启动与停止速度一致）</t>
  </si>
  <si>
    <t>上位机设置下位机单位</t>
  </si>
  <si>
    <t>设置下位机型号</t>
  </si>
  <si>
    <t>[5] 0x00 E70.S3 0x01 E18                0x02 E53  0x03 E18 24位 0x04 E51.D12S 0x05 E72 0x06 E63 0x07长光机定制709 0x08 E70 4路  0x09 E70-D3S-H5 0x0a E80-D3S-k1 0x0b E70-D3S-K1 0x0c E80-D4S-H1 0x0d E80-D12S-I1 0x0e E82.C30K-H1 0x0f E51.D3S-K1 0x10 压电螺钉控制器 0x11 E80.D3S-L1
0x12 E70.D3S-J2(长广机定制改协议) 0x13 E53.C4K-H 0X14 E53.D1E-J(大旋转) 0x15 E53.D1E-J(小旋转) 0x16 E71.D4E-J 0x17 E80.D3S-O
0x40 E70.S3 0x41 E18                0x42 E53  0x43 E18 24位 0x44 E51.D12S 0x45 E72 0x46 E63 0x47长光机定制709 0x48 E70 4路(2019年9月30日进行数模调换产品更迭)0x49 E70-D3S-H5 0x4a E80-D3S-k1 0x4b E70-D3S-K1 0x4c E80-D4S-H1 0x4d E80-D12S-I1 0x4e E82.C30K-H1 0x4f E51.D3S-I1</t>
  </si>
  <si>
    <t>设置下位机电压位移限制百分比</t>
  </si>
  <si>
    <t xml:space="preserve">
 [5,6,7,8]数据--发送数据为0-1的小数
</t>
  </si>
  <si>
    <t>读幅度校正状态</t>
  </si>
  <si>
    <t>[5]:0通道状态
[6]:1通道状态
[7]:2通道状态              
'Y'有效  'N'无效</t>
  </si>
  <si>
    <t>读数字PID状态</t>
  </si>
  <si>
    <t>[5]:0通道状态
[6]:1通道状态
[7]:2通道状态              [8]:3通道状态
'Y'有效  'N'无效</t>
  </si>
  <si>
    <t>所有通道同步输出模式启/停</t>
  </si>
  <si>
    <t>[1]地址可为0
[5]通道号
[6]:
/启动指定通道'R'
/停止指定通道'H'
/启动地址下的所有通道'A'
/停止地址下的所有通道'S'</t>
  </si>
  <si>
    <t xml:space="preserve">   </t>
  </si>
  <si>
    <t>同步触发</t>
  </si>
  <si>
    <t>[1]地址为0</t>
  </si>
  <si>
    <t>设置波特率</t>
  </si>
  <si>
    <t>[5]‘A’9600 ‘B’19200  ‘C’38400 ‘D’57600    ‘E’76800‘F’115200 ‘G’128000‘H’230400 ‘I’256000 ‘J’460800 ‘K’576000 'L'691200'M'1382400 ‘N’896000 'O'20736000 'P'921600</t>
  </si>
  <si>
    <t>AVR专用开启jtag</t>
  </si>
  <si>
    <t>[5]开启AVR Jtag功能 ‘S’</t>
  </si>
  <si>
    <t>ARM版不使用</t>
  </si>
  <si>
    <t>从任意界面跳转到软件采集界面</t>
  </si>
  <si>
    <t>仅E18使用</t>
  </si>
  <si>
    <t>发波形相位可调并发电压波形</t>
  </si>
  <si>
    <t>[5]通道号;[6]波类型;
[7,8,9,10]峰峰值;
[11,12,13,14]频率;
[15,16,17,18]偏移; [19,20,21,22]相位角（0-360°）</t>
  </si>
  <si>
    <t>发波形相位可调并发位移波形</t>
  </si>
  <si>
    <t>停某路波形相位可调并发波形</t>
  </si>
  <si>
    <t>[5]通道数[6]‘S’启动当前路波形 ‘T’停止当前路波形</t>
  </si>
  <si>
    <t>相位波形三路一起启停</t>
  </si>
  <si>
    <t>[5]‘S’三路同步启动 'T'三路同时停止</t>
  </si>
  <si>
    <t>单点步进存储点</t>
  </si>
  <si>
    <t xml:space="preserve">根据实际 </t>
  </si>
  <si>
    <t>[5]通道号
[6]0 前96个点 1 后96个点 
[7]....[198]实际发送点，一次命令最多发送96个点</t>
  </si>
  <si>
    <t>点单步进功能设置间隔时间</t>
  </si>
  <si>
    <t>[5]通道号
[6][7][8][9]            间隔时间0.1ms-9999ms,发送时间只保留小数点后一位，其它小数位舍掉--发送时间间隔为0.1ms的整数倍。</t>
  </si>
  <si>
    <t>点单步进功能启动/暂停/停止</t>
  </si>
  <si>
    <t xml:space="preserve">[5]通道号
[6]'S'开始 ‘T’停止 ‘P’暂停
</t>
  </si>
  <si>
    <t>设定DA数字调零放大参数</t>
  </si>
  <si>
    <t xml:space="preserve">[5]通道号
[6]'Z'设定0点参数 ‘M'设定最大值参数 ‘N’设定第二个DA最大值参数 [7][8][9][10]:参数值浮点数
</t>
  </si>
  <si>
    <t>设定开机DA初始值</t>
  </si>
  <si>
    <t xml:space="preserve">[5]通道号       [6][7][8][9]DA输出电压百分比 DA初始值最大值百分比为0-1小数，0代表输出0，1代表输出最大电压值
</t>
  </si>
  <si>
    <t>AD采集调零调放大</t>
  </si>
  <si>
    <t>[5]通道号             [6]'Z'开始调零 'M'开始调放大 [7]'C'闭环 'O'开环</t>
  </si>
  <si>
    <t>读8路AD值</t>
  </si>
  <si>
    <t>[5]发送周期(ms)          （发送周期为0只返回一次8路数据。停止实时读8路AD值使用11号命令)</t>
  </si>
  <si>
    <t xml:space="preserve">[5,6]1路AD数据       [7,8]2路AD数据
[9,10]3路AD数据             [11,12]4路AD数据  
[13,14]5路AD数据     [15,16]6路AD数据           [17,18]7路AD数据           [19,20]8路AD数据   </t>
  </si>
  <si>
    <t>8路AD采集工装使用</t>
  </si>
  <si>
    <t>通信连接连接是否正常</t>
  </si>
  <si>
    <t>[5]'O'[6]'K'</t>
  </si>
  <si>
    <t>读取下位机型号</t>
  </si>
  <si>
    <t>与57号配合使用</t>
  </si>
  <si>
    <t>电源信息标定1</t>
  </si>
  <si>
    <t xml:space="preserve">[5] CUP型号 ARM DSP AVR 0 1 2 3 
[6] 驱动器通道数;  1 2 3 4 5 
[7][8][9] 下位机版本号设定 格式V2.0.2 （不可设定 下位机不处理）                      
[10]通信端口信息  网口/485/USB/422/RS232，0001 1111 代表全支持  ‘X' 补位             
[11] 通信端口信息备份      
[12] 是否恒压 Y是 N否
[13] 全桥 特殊全桥 半桥  0 1 2 3 
[14][15]模拟输入低 模拟输入高 -3.3V-到+3.3V输入标定为33 33 一号 
[16][17] 二号 ‘X'补位
[18][19] 三号 ‘X'补位                   
[20]传感器类型 R C L      
[21]带宽 数字代表*1000      
[22]DA分辨率 发送实际分辨率数字  8 16 18 20 24                      
[23]AD分辨率 发送实际分辨率 8 16 18 20 24 
[24]…[55]下位机位机命令好使置位 256条命令
[56]‘X'补位
[57]‘X'补位
[58]‘X'补位
[59]‘X'补位
     </t>
  </si>
  <si>
    <t>电源信息读取1</t>
  </si>
  <si>
    <t xml:space="preserve">[5] CUP型号 ARM DSP AVR 0 1 2 3 
[6] 驱动器通道数;  1 2 3 4 5 
[7][8][9] 下位机版本号设定 格式V2.0.2 （不可设定 下位机不处理）                      
[10]通信端口信息  网口/485/USB/422/RS232，0001 1111 代表全支持  ‘X' 补位             
[11] 通信端口信息备份      
[12] 是否恒压 Y是 N否
[13] 全桥 特殊全桥 半桥  0 1 2 3 
[14][15]模拟输入低 模拟输入高 -3.3V-到+3.3V输入标定为33 33 一号 
[16][17] 二号 ‘X'补位
[18][19] 三号 ‘X'补位                   
[20]传感器类型 R C L      
[21]带宽 数字代表*1000      
[22]DA分辨率 发送实际分辨率数字  8 16 18 20 24                      
[23]AD分辨率 发送实际分辨率 8 16 18 20 24 
[24]…[55]下位机位机命令好使置位 256条命令
[56]‘X'补位
[57]‘X'补位
[58]‘X'补位
[59]‘X'补位
       </t>
  </si>
  <si>
    <t>台子信息标定</t>
  </si>
  <si>
    <t>[5]//X,N,P,
[6]//X,N,P
[7]//备用
[8][数字 0 到 255],
[9][数字 0 到 255,
[10]//设备号 通道数 1 2 3 4 5 6通道,
[11]//设备号 Z线运动 B摆台类 综合类型,
[12]//设备号 是否恒压 Y 带恒压　N 代表非恒压,
[13]//电阻 电容 电感  R C L</t>
  </si>
  <si>
    <t>台子信息读取</t>
  </si>
  <si>
    <t>实时读4路电压</t>
  </si>
  <si>
    <t>[5,6,7,8]0通道电压数据;
[9,10,11,12]1通道电压数据;
[13,14,15,16]2通道电压数据  [17,18,19,20]3通道电压数据</t>
  </si>
  <si>
    <t>实时读4路位移</t>
  </si>
  <si>
    <t>定周期发单路高速电压波形</t>
  </si>
  <si>
    <t>[5]通道号;[6]波类型;
[7,8,9,10]峰峰值;
[11,12,13,14]频率;
[15,16,17,18]偏移;
[19,20,21,22]发送周期数</t>
  </si>
  <si>
    <t>定周期发单路高速位移波形</t>
  </si>
  <si>
    <t>定周期发单路并发电压波形</t>
  </si>
  <si>
    <t>定周期发单路并发位移波形</t>
  </si>
  <si>
    <t>定周期发波形相位可调并发电压波形</t>
  </si>
  <si>
    <t>[5]通道号;[6]波类型;
[7,8,9,10]峰峰值;
[11,12,13,14]频率;
[15,16,17,18]偏移; [19,20,21,22]相位角（0-360°）
[23,24,25,26]发送周期数</t>
  </si>
  <si>
    <t>定周期发波形相位可调并发位移波形</t>
  </si>
  <si>
    <t>定周期所有波形一起启停</t>
  </si>
  <si>
    <t>同时发送四路电压</t>
  </si>
  <si>
    <t>[5,6,7,8]0通道电压数据;
[9,10,11,12]1通道电压数据;
[13,14,15,16]2通道电压数据;
[17,18,19,20]3通道电压数据</t>
  </si>
  <si>
    <t>同时发送四路位移</t>
  </si>
  <si>
    <t>709下位机发送给上位机报文周期</t>
  </si>
  <si>
    <t>[5]报文周期</t>
  </si>
  <si>
    <t>光机所定制E70使用</t>
  </si>
  <si>
    <t>设定下位机USB服务端口号</t>
  </si>
  <si>
    <t>[5,6,7,8,9,10, 11, 12, 13 , 14, 15, 16]下位机服务ID大端</t>
  </si>
  <si>
    <t>强制设定当前各通道波形状态作为开机默认波形</t>
  </si>
  <si>
    <t>[5]"1"打开开机发默认波形的功能"0"关闭开机发默认波形的功能</t>
  </si>
  <si>
    <t xml:space="preserve">  </t>
  </si>
  <si>
    <t>设定256路DA数字调零放大参数</t>
  </si>
  <si>
    <t xml:space="preserve">[5]通道号
[6]'Z'设定0点参数 ‘M'设定最大值参数 [7][8]参数值16进制
</t>
  </si>
  <si>
    <t>256路驱动采集自动调整</t>
  </si>
  <si>
    <t xml:space="preserve">
[5]'Z'设定0点参数 ‘M'设定最大值参数 
</t>
  </si>
  <si>
    <t>1,2路正弦波形开环叠加</t>
  </si>
  <si>
    <t>[5]通道号;[6]波类型1;[7]波类型2;
[8,9,10,11]1路峰峰值;
[12,13,14,15]2路峰峰值;
[16,17,18,19]1路频率;[20,21,22,23]2路频率;[24,25,26,27]1路偏置;[28,29,30,31]2路偏置；</t>
  </si>
  <si>
    <t>1,2路正弦波形闭环叠加</t>
  </si>
  <si>
    <t>[5]通道号;[6]波类型;[7]波类型2;
[8,9,10,11]1路峰峰值;
[12,13,14,15]2路峰峰值;
[16,17,18,19]1路频率;[20,21,22,23]2路频率;[24,25,26,27]1路偏置;[28,29,30,31]2路偏置；</t>
  </si>
  <si>
    <t>30路发送电压</t>
  </si>
  <si>
    <t xml:space="preserve">[5,6,7,8]
[9,10,11,12]
[12,14,15,16]
...
[121,122,123,124]
</t>
  </si>
  <si>
    <t>采集30路电压</t>
  </si>
  <si>
    <t>线性标定</t>
  </si>
  <si>
    <t>[5]通道号
[6]分段
[7][8][9][10]实际发送点，96一包
...
[n]校验码</t>
  </si>
  <si>
    <t>线性功能启动/停止</t>
  </si>
  <si>
    <t>[5]通道号
[6]'S'开始 ‘T’停止</t>
  </si>
  <si>
    <t>[5]通道号
[6]0x55开始 0xaa停止</t>
  </si>
  <si>
    <t>读取校正是否完成</t>
  </si>
  <si>
    <t>[5]通道号
[6]校正状态：'Y'完成 'N'未完成</t>
  </si>
  <si>
    <t>设定外部触发位置</t>
  </si>
  <si>
    <t>[5]通道号               [6]'V'电压值 'R'位移值     [7][8][9][10] 数据值</t>
  </si>
  <si>
    <t>读取外部触发位置</t>
  </si>
  <si>
    <t xml:space="preserve">[5]通道号 </t>
  </si>
  <si>
    <t>[5]通道号                     [6]'V'电压值 'R'位移值     [7][8][9][10] 数据值</t>
  </si>
  <si>
    <t>外部触发位置功能开关</t>
  </si>
  <si>
    <t xml:space="preserve">[5]通道号               [6]'R'开启 'H'停止     </t>
  </si>
  <si>
    <t>写硬件版本号</t>
  </si>
  <si>
    <t>[5]版本号 1 2 3…</t>
  </si>
  <si>
    <t>读取硬件版本号</t>
  </si>
  <si>
    <t>同时读四路电压</t>
  </si>
  <si>
    <t>[5,6,7,8]0通道电压数据;
[9,10,11,12]1通道电压数据;
[13,14,15,16]2通道电压数据[17,18,19,20]3通道电压数据</t>
  </si>
  <si>
    <t>同时读4路位移</t>
  </si>
  <si>
    <t>[5,6,7,8]0通道位移数据;
[9,10,11,12]1通道位移数据;
[13,14,15,16]2通道位移数据[17,18,19,20]3通道位移数据</t>
  </si>
  <si>
    <t>中英界面切换</t>
  </si>
  <si>
    <t>[5]=1对应中文，[5]=0对应英文</t>
  </si>
  <si>
    <t>是否带负载</t>
  </si>
  <si>
    <t>[5]=0 对应空载 [5]=1 对应带负载</t>
  </si>
  <si>
    <t>按指定频率半径画圆（E80.D3S-O定制）</t>
  </si>
  <si>
    <t>[5,6,7,8]A点X轴坐标
[9,10,11,12]A点Y轴坐标;
[13,14,15,16]B点X轴坐标
[17,18,19,20]B点Y轴坐标;
[21,22]延时时间
[23,24,25,26]圆的半径;
[27,28,29,30]画圆的频率;
[31,32,33,34]画圆的个数;</t>
  </si>
  <si>
    <t>从A点到B点，以B点为圆心画指定频率，指定半径的圆(延时为A——B之间、B——开始画圆之间的,最小可以为零)
延时，单位为us
A、B点单位为mrad</t>
  </si>
  <si>
    <t>停止画圆（E80.D3S-O定制）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</si>
</sst>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2"/>
      <name val="宋体"/>
      <charset val="134"/>
    </font>
    <font>
      <b/>
      <sz val="12"/>
      <name val="宋体"/>
      <charset val="134"/>
    </font>
    <font>
      <sz val="11"/>
      <name val="宋体"/>
      <charset val="134"/>
    </font>
    <font>
      <b/>
      <sz val="10"/>
      <name val="宋体"/>
      <charset val="134"/>
    </font>
    <font>
      <b/>
      <sz val="11"/>
      <name val="宋体"/>
      <charset val="134"/>
    </font>
    <font>
      <b/>
      <sz val="14"/>
      <name val="宋体"/>
      <charset val="134"/>
    </font>
    <font>
      <sz val="9"/>
      <name val="宋体"/>
      <charset val="134"/>
    </font>
    <font>
      <sz val="12"/>
      <name val="新宋体"/>
      <charset val="134"/>
    </font>
    <font>
      <sz val="11"/>
      <name val="新宋体"/>
      <charset val="134"/>
    </font>
    <font>
      <sz val="8"/>
      <name val="宋体"/>
      <charset val="134"/>
    </font>
    <font>
      <sz val="7"/>
      <name val="宋体"/>
      <charset val="134"/>
    </font>
    <font>
      <sz val="12"/>
      <color indexed="10"/>
      <name val="新宋体"/>
      <charset val="134"/>
    </font>
    <font>
      <sz val="10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60"/>
      <name val="宋体"/>
      <charset val="134"/>
    </font>
    <font>
      <b/>
      <sz val="11"/>
      <color indexed="62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44"/>
      </bottom>
      <diagonal/>
    </border>
  </borders>
  <cellStyleXfs count="51">
    <xf numFmtId="0" fontId="0" fillId="0" borderId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2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11" borderId="3" applyNumberFormat="0" applyFon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7" fillId="15" borderId="6" applyNumberFormat="0" applyAlignment="0" applyProtection="0">
      <alignment vertical="center"/>
    </xf>
    <xf numFmtId="0" fontId="28" fillId="15" borderId="2" applyNumberFormat="0" applyAlignment="0" applyProtection="0">
      <alignment vertical="center"/>
    </xf>
    <xf numFmtId="0" fontId="29" fillId="16" borderId="7" applyNumberForma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</cellStyleXfs>
  <cellXfs count="65">
    <xf numFmtId="0" fontId="0" fillId="0" borderId="0" xfId="0" applyAlignment="1"/>
    <xf numFmtId="0" fontId="1" fillId="0" borderId="0" xfId="0" applyFont="1" applyBorder="1">
      <alignment vertical="center"/>
    </xf>
    <xf numFmtId="0" fontId="0" fillId="2" borderId="0" xfId="0" applyFill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wrapText="1"/>
    </xf>
    <xf numFmtId="0" fontId="1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4" borderId="0" xfId="0" applyFont="1" applyFill="1" applyBorder="1">
      <alignment vertical="center"/>
    </xf>
    <xf numFmtId="0" fontId="1" fillId="3" borderId="0" xfId="0" applyFont="1" applyFill="1" applyBorder="1" applyAlignment="1">
      <alignment horizontal="center" vertical="center"/>
    </xf>
    <xf numFmtId="0" fontId="1" fillId="5" borderId="0" xfId="0" applyFont="1" applyFill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0" fillId="3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Fon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Font="1" applyAlignment="1">
      <alignment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适中 2" xfId="47"/>
    <cellStyle name="40% - 强调文字颜色 6" xfId="48" builtinId="51"/>
    <cellStyle name="60% - 强调文字颜色 6" xfId="49" builtinId="52"/>
    <cellStyle name="标题 3 2" xfId="50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zoomScale="85" zoomScaleNormal="85" workbookViewId="0">
      <selection activeCell="A2" sqref="A2:G3"/>
    </sheetView>
  </sheetViews>
  <sheetFormatPr defaultColWidth="9" defaultRowHeight="14.25" outlineLevelCol="6"/>
  <cols>
    <col min="1" max="1" width="12.75" style="56" customWidth="1"/>
    <col min="2" max="2" width="18.375" style="56" customWidth="1"/>
    <col min="3" max="3" width="19" style="56" customWidth="1"/>
    <col min="4" max="4" width="27.875" style="56" customWidth="1"/>
    <col min="5" max="5" width="22.25" style="56" customWidth="1"/>
    <col min="6" max="6" width="23.875" style="56" customWidth="1"/>
    <col min="7" max="16384" width="9" style="56"/>
  </cols>
  <sheetData>
    <row r="1" ht="28.5" customHeight="1" spans="1:7">
      <c r="A1" s="57" t="s">
        <v>0</v>
      </c>
      <c r="B1" s="57"/>
      <c r="C1" s="57"/>
      <c r="D1" s="57"/>
      <c r="E1" s="57"/>
      <c r="F1" s="57"/>
      <c r="G1" s="57"/>
    </row>
    <row r="2" s="55" customFormat="1" ht="28.5" spans="1:7">
      <c r="A2" s="51" t="s">
        <v>1</v>
      </c>
      <c r="B2" s="51" t="s">
        <v>2</v>
      </c>
      <c r="C2" s="51" t="s">
        <v>3</v>
      </c>
      <c r="D2" s="51" t="s">
        <v>4</v>
      </c>
      <c r="E2" s="51" t="s">
        <v>5</v>
      </c>
      <c r="F2" s="51" t="s">
        <v>6</v>
      </c>
      <c r="G2" s="51" t="s">
        <v>7</v>
      </c>
    </row>
    <row r="3" ht="85.5" spans="1:7">
      <c r="A3" s="53" t="s">
        <v>8</v>
      </c>
      <c r="B3" s="53" t="s">
        <v>9</v>
      </c>
      <c r="C3" s="58" t="s">
        <v>10</v>
      </c>
      <c r="D3" s="53" t="s">
        <v>11</v>
      </c>
      <c r="E3" s="59" t="s">
        <v>12</v>
      </c>
      <c r="F3" s="59" t="s">
        <v>13</v>
      </c>
      <c r="G3" s="53" t="s">
        <v>14</v>
      </c>
    </row>
    <row r="6" ht="23.25" customHeight="1"/>
    <row r="7" s="55" customFormat="1" ht="28.5" customHeight="1" spans="1:5">
      <c r="A7" s="56"/>
      <c r="B7" s="56"/>
      <c r="C7" s="56"/>
      <c r="D7" s="56"/>
      <c r="E7" s="56"/>
    </row>
    <row r="8" ht="83.25" customHeight="1" spans="1:5">
      <c r="A8" s="53" t="s">
        <v>15</v>
      </c>
      <c r="B8" s="60" t="s">
        <v>16</v>
      </c>
      <c r="C8" s="61"/>
      <c r="D8" s="60" t="s">
        <v>17</v>
      </c>
      <c r="E8" s="61"/>
    </row>
    <row r="10" spans="1:5">
      <c r="A10" s="62" t="s">
        <v>18</v>
      </c>
      <c r="B10" s="59"/>
      <c r="C10" s="62" t="s">
        <v>19</v>
      </c>
      <c r="D10" s="62" t="s">
        <v>20</v>
      </c>
      <c r="E10" s="62" t="s">
        <v>21</v>
      </c>
    </row>
    <row r="11" ht="254.25" customHeight="1" spans="1:7">
      <c r="A11" s="62"/>
      <c r="B11" s="62" t="s">
        <v>22</v>
      </c>
      <c r="C11" s="34" t="s">
        <v>23</v>
      </c>
      <c r="D11" s="59" t="s">
        <v>24</v>
      </c>
      <c r="E11" s="53"/>
      <c r="F11" s="63"/>
      <c r="G11" s="64"/>
    </row>
    <row r="12" ht="409.5" spans="1:5">
      <c r="A12" s="62"/>
      <c r="B12" s="62" t="s">
        <v>25</v>
      </c>
      <c r="C12" s="59" t="s">
        <v>26</v>
      </c>
      <c r="D12" s="59" t="s">
        <v>27</v>
      </c>
      <c r="E12" s="53"/>
    </row>
  </sheetData>
  <mergeCells count="4">
    <mergeCell ref="A1:G1"/>
    <mergeCell ref="B8:C8"/>
    <mergeCell ref="D8:E8"/>
    <mergeCell ref="A10:A12"/>
  </mergeCells>
  <pageMargins left="0.235416666666667" right="0.235416666666667" top="0.747916666666667" bottom="0.235416666666667" header="0.313888888888889" footer="0"/>
  <pageSetup paperSize="9" orientation="landscape"/>
  <headerFooter alignWithMargins="0">
    <oddHeader>&amp;C数据包格式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4"/>
  <sheetViews>
    <sheetView tabSelected="1" topLeftCell="A117" workbookViewId="0">
      <selection activeCell="B86" sqref="B86:H87"/>
    </sheetView>
  </sheetViews>
  <sheetFormatPr defaultColWidth="9" defaultRowHeight="14.25"/>
  <cols>
    <col min="1" max="1" width="6.875" style="2" customWidth="1"/>
    <col min="2" max="2" width="27.25" style="3" customWidth="1"/>
    <col min="3" max="3" width="5.5" style="4" customWidth="1"/>
    <col min="4" max="4" width="3.75" style="4" customWidth="1"/>
    <col min="5" max="5" width="27.625" style="5" customWidth="1"/>
    <col min="6" max="6" width="5.625" style="6" customWidth="1"/>
    <col min="7" max="7" width="4.25" style="6" customWidth="1"/>
    <col min="8" max="8" width="30.5" style="3" customWidth="1"/>
    <col min="9" max="9" width="20" style="7" customWidth="1"/>
    <col min="10" max="12" width="9" style="7"/>
    <col min="13" max="13" width="11.875" style="7" customWidth="1"/>
    <col min="14" max="16384" width="9" style="7"/>
  </cols>
  <sheetData>
    <row r="1" ht="25.5" customHeight="1" spans="1:9">
      <c r="A1" s="8" t="s">
        <v>28</v>
      </c>
      <c r="B1" s="9" t="s">
        <v>29</v>
      </c>
      <c r="C1" s="10" t="s">
        <v>30</v>
      </c>
      <c r="D1" s="11"/>
      <c r="E1" s="11"/>
      <c r="F1" s="10" t="s">
        <v>31</v>
      </c>
      <c r="G1" s="10"/>
      <c r="H1" s="10"/>
      <c r="I1" s="28" t="s">
        <v>21</v>
      </c>
    </row>
    <row r="2" s="1" customFormat="1" ht="29.25" customHeight="1" spans="1:13">
      <c r="A2" s="8"/>
      <c r="B2" s="9"/>
      <c r="C2" s="12" t="s">
        <v>32</v>
      </c>
      <c r="D2" s="12" t="s">
        <v>33</v>
      </c>
      <c r="E2" s="13" t="s">
        <v>34</v>
      </c>
      <c r="F2" s="12" t="s">
        <v>32</v>
      </c>
      <c r="G2" s="12" t="s">
        <v>33</v>
      </c>
      <c r="H2" s="13" t="s">
        <v>34</v>
      </c>
      <c r="I2" s="28"/>
      <c r="K2" s="29" t="s">
        <v>35</v>
      </c>
      <c r="L2" s="30" t="s">
        <v>36</v>
      </c>
      <c r="M2" s="31" t="s">
        <v>37</v>
      </c>
    </row>
    <row r="3" ht="33.75" customHeight="1" spans="1:9">
      <c r="A3" s="14">
        <v>0</v>
      </c>
      <c r="B3" s="15" t="s">
        <v>38</v>
      </c>
      <c r="C3" s="11">
        <f>D3+6</f>
        <v>11</v>
      </c>
      <c r="D3" s="11">
        <v>5</v>
      </c>
      <c r="E3" s="16" t="s">
        <v>39</v>
      </c>
      <c r="F3" s="17"/>
      <c r="G3" s="17"/>
      <c r="H3" s="18"/>
      <c r="I3" s="32"/>
    </row>
    <row r="4" ht="38.25" customHeight="1" spans="1:9">
      <c r="A4" s="14">
        <v>1</v>
      </c>
      <c r="B4" s="15" t="s">
        <v>40</v>
      </c>
      <c r="C4" s="11">
        <f t="shared" ref="C4" si="0">D4+6</f>
        <v>11</v>
      </c>
      <c r="D4" s="11">
        <v>5</v>
      </c>
      <c r="E4" s="16" t="s">
        <v>41</v>
      </c>
      <c r="F4" s="17"/>
      <c r="G4" s="17"/>
      <c r="H4" s="18"/>
      <c r="I4" s="32"/>
    </row>
    <row r="5" ht="42.75" customHeight="1" spans="1:9">
      <c r="A5" s="14">
        <v>2</v>
      </c>
      <c r="B5" s="15" t="s">
        <v>42</v>
      </c>
      <c r="C5" s="11">
        <f t="shared" ref="C5:C20" si="1">D5+6</f>
        <v>18</v>
      </c>
      <c r="D5" s="11">
        <v>12</v>
      </c>
      <c r="E5" s="16" t="s">
        <v>43</v>
      </c>
      <c r="F5" s="17"/>
      <c r="G5" s="17"/>
      <c r="H5" s="18"/>
      <c r="I5" s="32"/>
    </row>
    <row r="6" ht="40.5" spans="1:9">
      <c r="A6" s="14">
        <v>3</v>
      </c>
      <c r="B6" s="15" t="s">
        <v>44</v>
      </c>
      <c r="C6" s="11">
        <f t="shared" si="1"/>
        <v>18</v>
      </c>
      <c r="D6" s="11">
        <v>12</v>
      </c>
      <c r="E6" s="16" t="s">
        <v>45</v>
      </c>
      <c r="F6" s="17"/>
      <c r="G6" s="17"/>
      <c r="H6" s="18"/>
      <c r="I6" s="32"/>
    </row>
    <row r="7" ht="30.75" customHeight="1" spans="1:9">
      <c r="A7" s="14">
        <v>4</v>
      </c>
      <c r="B7" s="15" t="s">
        <v>46</v>
      </c>
      <c r="C7" s="11">
        <f t="shared" si="1"/>
        <v>6</v>
      </c>
      <c r="D7" s="11">
        <v>0</v>
      </c>
      <c r="E7" s="16"/>
      <c r="F7" s="17"/>
      <c r="G7" s="17"/>
      <c r="H7" s="18"/>
      <c r="I7" s="32"/>
    </row>
    <row r="8" ht="39" customHeight="1" spans="1:9">
      <c r="A8" s="14">
        <v>5</v>
      </c>
      <c r="B8" s="15" t="s">
        <v>47</v>
      </c>
      <c r="C8" s="11">
        <f t="shared" si="1"/>
        <v>7</v>
      </c>
      <c r="D8" s="11">
        <v>1</v>
      </c>
      <c r="E8" s="16" t="s">
        <v>48</v>
      </c>
      <c r="F8" s="17">
        <f t="shared" ref="F8:F13" si="2">G8+6</f>
        <v>11</v>
      </c>
      <c r="G8" s="17">
        <v>5</v>
      </c>
      <c r="H8" s="16" t="s">
        <v>39</v>
      </c>
      <c r="I8" s="32"/>
    </row>
    <row r="9" ht="37.5" customHeight="1" spans="1:9">
      <c r="A9" s="14">
        <v>6</v>
      </c>
      <c r="B9" s="15" t="s">
        <v>49</v>
      </c>
      <c r="C9" s="11">
        <f t="shared" si="1"/>
        <v>7</v>
      </c>
      <c r="D9" s="11">
        <v>1</v>
      </c>
      <c r="E9" s="16" t="s">
        <v>48</v>
      </c>
      <c r="F9" s="17">
        <f t="shared" si="2"/>
        <v>11</v>
      </c>
      <c r="G9" s="17">
        <v>5</v>
      </c>
      <c r="H9" s="16" t="s">
        <v>41</v>
      </c>
      <c r="I9" s="32"/>
    </row>
    <row r="10" ht="30.75" customHeight="1" spans="1:9">
      <c r="A10" s="14">
        <v>7</v>
      </c>
      <c r="B10" s="15" t="s">
        <v>50</v>
      </c>
      <c r="C10" s="11">
        <f t="shared" si="1"/>
        <v>8</v>
      </c>
      <c r="D10" s="11">
        <v>2</v>
      </c>
      <c r="E10" s="16" t="s">
        <v>51</v>
      </c>
      <c r="F10" s="17">
        <f t="shared" si="2"/>
        <v>11</v>
      </c>
      <c r="G10" s="17">
        <v>5</v>
      </c>
      <c r="H10" s="16" t="s">
        <v>39</v>
      </c>
      <c r="I10" s="32"/>
    </row>
    <row r="11" ht="29.25" customHeight="1" spans="1:9">
      <c r="A11" s="14">
        <v>8</v>
      </c>
      <c r="B11" s="15" t="s">
        <v>52</v>
      </c>
      <c r="C11" s="11">
        <f t="shared" si="1"/>
        <v>8</v>
      </c>
      <c r="D11" s="11">
        <v>2</v>
      </c>
      <c r="E11" s="16" t="s">
        <v>51</v>
      </c>
      <c r="F11" s="17">
        <f t="shared" si="2"/>
        <v>11</v>
      </c>
      <c r="G11" s="17">
        <v>5</v>
      </c>
      <c r="H11" s="16" t="s">
        <v>41</v>
      </c>
      <c r="I11" s="32"/>
    </row>
    <row r="12" ht="40.5" spans="1:9">
      <c r="A12" s="14">
        <v>9</v>
      </c>
      <c r="B12" s="15" t="s">
        <v>53</v>
      </c>
      <c r="C12" s="11">
        <f t="shared" si="1"/>
        <v>7</v>
      </c>
      <c r="D12" s="11">
        <v>1</v>
      </c>
      <c r="E12" s="16" t="s">
        <v>54</v>
      </c>
      <c r="F12" s="17">
        <f t="shared" si="2"/>
        <v>18</v>
      </c>
      <c r="G12" s="17">
        <v>12</v>
      </c>
      <c r="H12" s="16" t="s">
        <v>43</v>
      </c>
      <c r="I12" s="32"/>
    </row>
    <row r="13" ht="40.5" spans="1:9">
      <c r="A13" s="14">
        <v>10</v>
      </c>
      <c r="B13" s="15" t="s">
        <v>55</v>
      </c>
      <c r="C13" s="11">
        <f t="shared" si="1"/>
        <v>7</v>
      </c>
      <c r="D13" s="11">
        <v>1</v>
      </c>
      <c r="E13" s="16" t="s">
        <v>54</v>
      </c>
      <c r="F13" s="17">
        <f t="shared" si="2"/>
        <v>18</v>
      </c>
      <c r="G13" s="17">
        <v>12</v>
      </c>
      <c r="H13" s="16" t="s">
        <v>45</v>
      </c>
      <c r="I13" s="32"/>
    </row>
    <row r="14" ht="30.75" customHeight="1" spans="1:9">
      <c r="A14" s="14">
        <v>11</v>
      </c>
      <c r="B14" s="15" t="s">
        <v>56</v>
      </c>
      <c r="C14" s="11">
        <f t="shared" si="1"/>
        <v>6</v>
      </c>
      <c r="D14" s="11">
        <v>0</v>
      </c>
      <c r="E14" s="16"/>
      <c r="F14" s="17"/>
      <c r="G14" s="17"/>
      <c r="H14" s="18"/>
      <c r="I14" s="32"/>
    </row>
    <row r="15" ht="54" spans="1:9">
      <c r="A15" s="14">
        <v>12</v>
      </c>
      <c r="B15" s="19" t="s">
        <v>57</v>
      </c>
      <c r="C15" s="11">
        <f t="shared" si="1"/>
        <v>20</v>
      </c>
      <c r="D15" s="11">
        <v>14</v>
      </c>
      <c r="E15" s="16" t="s">
        <v>58</v>
      </c>
      <c r="F15" s="17"/>
      <c r="G15" s="17"/>
      <c r="H15" s="18"/>
      <c r="I15" s="32"/>
    </row>
    <row r="16" ht="54" spans="1:9">
      <c r="A16" s="14">
        <v>13</v>
      </c>
      <c r="B16" s="19" t="s">
        <v>59</v>
      </c>
      <c r="C16" s="11">
        <f t="shared" si="1"/>
        <v>20</v>
      </c>
      <c r="D16" s="11">
        <v>14</v>
      </c>
      <c r="E16" s="16" t="s">
        <v>58</v>
      </c>
      <c r="F16" s="17"/>
      <c r="G16" s="17"/>
      <c r="H16" s="18"/>
      <c r="I16" s="32"/>
    </row>
    <row r="17" ht="30.75" customHeight="1" spans="1:9">
      <c r="A17" s="14">
        <v>14</v>
      </c>
      <c r="B17" s="19" t="s">
        <v>60</v>
      </c>
      <c r="C17" s="11">
        <f t="shared" si="1"/>
        <v>6</v>
      </c>
      <c r="D17" s="11">
        <v>0</v>
      </c>
      <c r="E17" s="16"/>
      <c r="F17" s="17"/>
      <c r="G17" s="17"/>
      <c r="H17" s="18"/>
      <c r="I17" s="32"/>
    </row>
    <row r="18" ht="54" spans="1:9">
      <c r="A18" s="14">
        <v>15</v>
      </c>
      <c r="B18" s="19" t="s">
        <v>61</v>
      </c>
      <c r="C18" s="11">
        <f t="shared" si="1"/>
        <v>20</v>
      </c>
      <c r="D18" s="11">
        <v>14</v>
      </c>
      <c r="E18" s="16" t="s">
        <v>58</v>
      </c>
      <c r="F18" s="17"/>
      <c r="G18" s="17"/>
      <c r="H18" s="18"/>
      <c r="I18" s="32"/>
    </row>
    <row r="19" ht="54" spans="1:9">
      <c r="A19" s="14">
        <v>16</v>
      </c>
      <c r="B19" s="19" t="s">
        <v>62</v>
      </c>
      <c r="C19" s="11">
        <f t="shared" si="1"/>
        <v>20</v>
      </c>
      <c r="D19" s="11">
        <v>14</v>
      </c>
      <c r="E19" s="16" t="s">
        <v>58</v>
      </c>
      <c r="F19" s="17"/>
      <c r="G19" s="17"/>
      <c r="H19" s="18"/>
      <c r="I19" s="32"/>
    </row>
    <row r="20" ht="30.75" customHeight="1" spans="1:9">
      <c r="A20" s="14">
        <v>17</v>
      </c>
      <c r="B20" s="19" t="s">
        <v>63</v>
      </c>
      <c r="C20" s="11">
        <f t="shared" si="1"/>
        <v>7</v>
      </c>
      <c r="D20" s="11">
        <v>1</v>
      </c>
      <c r="E20" s="16" t="s">
        <v>48</v>
      </c>
      <c r="F20" s="17"/>
      <c r="G20" s="17"/>
      <c r="H20" s="18"/>
      <c r="I20" s="32"/>
    </row>
    <row r="21" ht="30.75" customHeight="1" spans="1:9">
      <c r="A21" s="14">
        <v>18</v>
      </c>
      <c r="B21" s="19" t="s">
        <v>64</v>
      </c>
      <c r="C21" s="11">
        <f t="shared" ref="C21" si="3">D21+6</f>
        <v>8</v>
      </c>
      <c r="D21" s="11">
        <v>2</v>
      </c>
      <c r="E21" s="16" t="s">
        <v>65</v>
      </c>
      <c r="F21" s="17"/>
      <c r="G21" s="17"/>
      <c r="H21" s="18"/>
      <c r="I21" s="32"/>
    </row>
    <row r="22" ht="30.75" customHeight="1" spans="1:9">
      <c r="A22" s="14">
        <v>19</v>
      </c>
      <c r="B22" s="19" t="s">
        <v>66</v>
      </c>
      <c r="C22" s="11">
        <f t="shared" ref="C22:C38" si="4">D22+6</f>
        <v>7</v>
      </c>
      <c r="D22" s="11">
        <v>1</v>
      </c>
      <c r="E22" s="16" t="s">
        <v>48</v>
      </c>
      <c r="F22" s="17">
        <f t="shared" ref="F22" si="5">G22+6</f>
        <v>8</v>
      </c>
      <c r="G22" s="17">
        <v>2</v>
      </c>
      <c r="H22" s="18" t="s">
        <v>65</v>
      </c>
      <c r="I22" s="32"/>
    </row>
    <row r="23" ht="30.75" customHeight="1" spans="1:9">
      <c r="A23" s="14">
        <v>20</v>
      </c>
      <c r="B23" s="19" t="s">
        <v>67</v>
      </c>
      <c r="C23" s="11">
        <f t="shared" si="4"/>
        <v>8</v>
      </c>
      <c r="D23" s="11">
        <v>2</v>
      </c>
      <c r="E23" s="16" t="s">
        <v>68</v>
      </c>
      <c r="F23" s="17"/>
      <c r="G23" s="17"/>
      <c r="H23" s="18"/>
      <c r="I23" s="32"/>
    </row>
    <row r="24" ht="30.75" customHeight="1" spans="1:9">
      <c r="A24" s="14">
        <v>21</v>
      </c>
      <c r="B24" s="19" t="s">
        <v>69</v>
      </c>
      <c r="C24" s="11">
        <f t="shared" si="4"/>
        <v>7</v>
      </c>
      <c r="D24" s="11">
        <v>1</v>
      </c>
      <c r="E24" s="16" t="s">
        <v>48</v>
      </c>
      <c r="F24" s="17">
        <f t="shared" ref="F24" si="6">G24+6</f>
        <v>8</v>
      </c>
      <c r="G24" s="17">
        <v>2</v>
      </c>
      <c r="H24" s="18" t="s">
        <v>68</v>
      </c>
      <c r="I24" s="32"/>
    </row>
    <row r="25" ht="30.75" customHeight="1" spans="1:9">
      <c r="A25" s="20">
        <v>22</v>
      </c>
      <c r="B25" s="19" t="s">
        <v>70</v>
      </c>
      <c r="C25" s="11">
        <f t="shared" si="4"/>
        <v>8</v>
      </c>
      <c r="D25" s="11">
        <v>2</v>
      </c>
      <c r="E25" s="16" t="s">
        <v>71</v>
      </c>
      <c r="F25" s="17"/>
      <c r="G25" s="17"/>
      <c r="H25" s="18"/>
      <c r="I25" s="33" t="s">
        <v>72</v>
      </c>
    </row>
    <row r="26" ht="30.75" customHeight="1" spans="1:9">
      <c r="A26" s="20">
        <v>23</v>
      </c>
      <c r="B26" s="19" t="s">
        <v>73</v>
      </c>
      <c r="C26" s="11">
        <f t="shared" si="4"/>
        <v>7</v>
      </c>
      <c r="D26" s="11">
        <v>1</v>
      </c>
      <c r="E26" s="16" t="s">
        <v>48</v>
      </c>
      <c r="F26" s="17">
        <f>G26+6</f>
        <v>8</v>
      </c>
      <c r="G26" s="17">
        <v>2</v>
      </c>
      <c r="H26" s="18" t="s">
        <v>74</v>
      </c>
      <c r="I26" s="33" t="s">
        <v>72</v>
      </c>
    </row>
    <row r="27" ht="30.75" customHeight="1" spans="1:9">
      <c r="A27" s="21">
        <v>24</v>
      </c>
      <c r="B27" s="19" t="s">
        <v>75</v>
      </c>
      <c r="C27" s="11">
        <f t="shared" si="4"/>
        <v>11</v>
      </c>
      <c r="D27" s="11">
        <v>5</v>
      </c>
      <c r="E27" s="16" t="s">
        <v>76</v>
      </c>
      <c r="F27" s="17"/>
      <c r="G27" s="17"/>
      <c r="H27" s="18"/>
      <c r="I27" s="32"/>
    </row>
    <row r="28" ht="30.75" customHeight="1" spans="1:9">
      <c r="A28" s="14">
        <v>25</v>
      </c>
      <c r="B28" s="19" t="s">
        <v>77</v>
      </c>
      <c r="C28" s="11">
        <f t="shared" si="4"/>
        <v>7</v>
      </c>
      <c r="D28" s="11">
        <v>1</v>
      </c>
      <c r="E28" s="16" t="s">
        <v>48</v>
      </c>
      <c r="F28" s="17">
        <f>G28+6</f>
        <v>11</v>
      </c>
      <c r="G28" s="17">
        <v>5</v>
      </c>
      <c r="H28" s="18" t="s">
        <v>78</v>
      </c>
      <c r="I28" s="32"/>
    </row>
    <row r="29" ht="30.75" customHeight="1" spans="1:9">
      <c r="A29" s="21">
        <v>26</v>
      </c>
      <c r="B29" s="19" t="s">
        <v>79</v>
      </c>
      <c r="C29" s="11">
        <f t="shared" si="4"/>
        <v>11</v>
      </c>
      <c r="D29" s="11">
        <v>5</v>
      </c>
      <c r="E29" s="16" t="s">
        <v>80</v>
      </c>
      <c r="F29" s="17"/>
      <c r="G29" s="17"/>
      <c r="H29" s="18"/>
      <c r="I29" s="32"/>
    </row>
    <row r="30" ht="30.75" customHeight="1" spans="1:9">
      <c r="A30" s="14">
        <v>27</v>
      </c>
      <c r="B30" s="19" t="s">
        <v>81</v>
      </c>
      <c r="C30" s="11">
        <f t="shared" si="4"/>
        <v>7</v>
      </c>
      <c r="D30" s="11">
        <v>1</v>
      </c>
      <c r="E30" s="16" t="s">
        <v>48</v>
      </c>
      <c r="F30" s="17">
        <f t="shared" ref="F30" si="7">G30+6</f>
        <v>11</v>
      </c>
      <c r="G30" s="17">
        <v>5</v>
      </c>
      <c r="H30" s="16" t="s">
        <v>80</v>
      </c>
      <c r="I30" s="32"/>
    </row>
    <row r="31" ht="30.75" customHeight="1" spans="1:9">
      <c r="A31" s="21">
        <v>28</v>
      </c>
      <c r="B31" s="19" t="s">
        <v>82</v>
      </c>
      <c r="C31" s="11">
        <f t="shared" si="4"/>
        <v>11</v>
      </c>
      <c r="D31" s="11">
        <v>5</v>
      </c>
      <c r="E31" s="16" t="s">
        <v>83</v>
      </c>
      <c r="F31" s="17"/>
      <c r="G31" s="17"/>
      <c r="H31" s="18"/>
      <c r="I31" s="32"/>
    </row>
    <row r="32" ht="30.75" customHeight="1" spans="1:9">
      <c r="A32" s="14">
        <v>29</v>
      </c>
      <c r="B32" s="19" t="s">
        <v>84</v>
      </c>
      <c r="C32" s="11">
        <f t="shared" si="4"/>
        <v>7</v>
      </c>
      <c r="D32" s="11">
        <v>1</v>
      </c>
      <c r="E32" s="16" t="s">
        <v>48</v>
      </c>
      <c r="F32" s="17">
        <f t="shared" ref="F32" si="8">G32+6</f>
        <v>11</v>
      </c>
      <c r="G32" s="17">
        <v>5</v>
      </c>
      <c r="H32" s="16" t="s">
        <v>83</v>
      </c>
      <c r="I32" s="32"/>
    </row>
    <row r="33" ht="30.75" customHeight="1" spans="1:9">
      <c r="A33" s="21">
        <v>30</v>
      </c>
      <c r="B33" s="19" t="s">
        <v>85</v>
      </c>
      <c r="C33" s="11">
        <f t="shared" si="4"/>
        <v>10</v>
      </c>
      <c r="D33" s="11">
        <v>4</v>
      </c>
      <c r="E33" s="16" t="s">
        <v>86</v>
      </c>
      <c r="F33" s="17"/>
      <c r="G33" s="17"/>
      <c r="H33" s="18"/>
      <c r="I33" s="32"/>
    </row>
    <row r="34" ht="30.75" customHeight="1" spans="1:9">
      <c r="A34" s="14">
        <v>31</v>
      </c>
      <c r="B34" s="19" t="s">
        <v>87</v>
      </c>
      <c r="C34" s="11">
        <f t="shared" si="4"/>
        <v>7</v>
      </c>
      <c r="D34" s="11">
        <v>1</v>
      </c>
      <c r="E34" s="16" t="s">
        <v>48</v>
      </c>
      <c r="F34" s="17">
        <f t="shared" ref="F34" si="9">G34+6</f>
        <v>10</v>
      </c>
      <c r="G34" s="17">
        <v>4</v>
      </c>
      <c r="H34" s="16" t="s">
        <v>86</v>
      </c>
      <c r="I34" s="32"/>
    </row>
    <row r="35" ht="30.75" customHeight="1" spans="1:9">
      <c r="A35" s="21">
        <v>32</v>
      </c>
      <c r="B35" s="19" t="s">
        <v>88</v>
      </c>
      <c r="C35" s="11">
        <f t="shared" si="4"/>
        <v>10</v>
      </c>
      <c r="D35" s="11">
        <v>4</v>
      </c>
      <c r="E35" s="16" t="s">
        <v>89</v>
      </c>
      <c r="F35" s="17"/>
      <c r="G35" s="17"/>
      <c r="H35" s="18"/>
      <c r="I35" s="32"/>
    </row>
    <row r="36" ht="30.75" customHeight="1" spans="1:9">
      <c r="A36" s="14">
        <v>33</v>
      </c>
      <c r="B36" s="19" t="s">
        <v>90</v>
      </c>
      <c r="C36" s="11">
        <f t="shared" si="4"/>
        <v>7</v>
      </c>
      <c r="D36" s="11">
        <v>1</v>
      </c>
      <c r="E36" s="16" t="s">
        <v>48</v>
      </c>
      <c r="F36" s="17">
        <f>G36+6</f>
        <v>11</v>
      </c>
      <c r="G36" s="17">
        <v>5</v>
      </c>
      <c r="H36" s="16" t="s">
        <v>89</v>
      </c>
      <c r="I36" s="32"/>
    </row>
    <row r="37" ht="30.75" customHeight="1" spans="1:9">
      <c r="A37" s="21">
        <v>34</v>
      </c>
      <c r="B37" s="19" t="s">
        <v>91</v>
      </c>
      <c r="C37" s="11">
        <f t="shared" si="4"/>
        <v>10</v>
      </c>
      <c r="D37" s="11">
        <v>4</v>
      </c>
      <c r="E37" s="16" t="s">
        <v>92</v>
      </c>
      <c r="F37" s="17"/>
      <c r="G37" s="17"/>
      <c r="H37" s="18"/>
      <c r="I37" s="32"/>
    </row>
    <row r="38" ht="30.75" customHeight="1" spans="1:9">
      <c r="A38" s="14">
        <v>35</v>
      </c>
      <c r="B38" s="19" t="s">
        <v>93</v>
      </c>
      <c r="C38" s="11">
        <f t="shared" si="4"/>
        <v>7</v>
      </c>
      <c r="D38" s="11">
        <v>1</v>
      </c>
      <c r="E38" s="16" t="s">
        <v>48</v>
      </c>
      <c r="F38" s="17">
        <f>G38+6</f>
        <v>11</v>
      </c>
      <c r="G38" s="17">
        <v>5</v>
      </c>
      <c r="H38" s="16" t="s">
        <v>92</v>
      </c>
      <c r="I38" s="32"/>
    </row>
    <row r="39" ht="30.75" customHeight="1" spans="1:9">
      <c r="A39" s="22">
        <v>36</v>
      </c>
      <c r="B39" s="19" t="s">
        <v>94</v>
      </c>
      <c r="C39" s="11">
        <v>8</v>
      </c>
      <c r="D39" s="11">
        <v>2</v>
      </c>
      <c r="E39" s="16" t="s">
        <v>95</v>
      </c>
      <c r="F39" s="17"/>
      <c r="G39" s="17"/>
      <c r="H39" s="18"/>
      <c r="I39" s="33" t="s">
        <v>96</v>
      </c>
    </row>
    <row r="40" ht="54" spans="1:9">
      <c r="A40" s="22">
        <v>37</v>
      </c>
      <c r="B40" s="19" t="s">
        <v>97</v>
      </c>
      <c r="C40" s="11">
        <v>19</v>
      </c>
      <c r="D40" s="11">
        <v>13</v>
      </c>
      <c r="E40" s="16" t="s">
        <v>98</v>
      </c>
      <c r="F40" s="17"/>
      <c r="G40" s="17"/>
      <c r="H40" s="18"/>
      <c r="I40" s="33" t="s">
        <v>96</v>
      </c>
    </row>
    <row r="41" ht="54" spans="1:9">
      <c r="A41" s="22">
        <v>38</v>
      </c>
      <c r="B41" s="19" t="s">
        <v>99</v>
      </c>
      <c r="C41" s="11">
        <v>7</v>
      </c>
      <c r="D41" s="11">
        <v>1</v>
      </c>
      <c r="E41" s="16" t="s">
        <v>48</v>
      </c>
      <c r="F41" s="17">
        <v>19</v>
      </c>
      <c r="G41" s="17">
        <v>13</v>
      </c>
      <c r="H41" s="16" t="s">
        <v>98</v>
      </c>
      <c r="I41" s="33" t="s">
        <v>96</v>
      </c>
    </row>
    <row r="42" ht="35.25" customHeight="1" spans="1:9">
      <c r="A42" s="20">
        <v>39</v>
      </c>
      <c r="B42" s="19" t="s">
        <v>100</v>
      </c>
      <c r="C42" s="11">
        <v>6</v>
      </c>
      <c r="D42" s="11">
        <v>0</v>
      </c>
      <c r="E42" s="16"/>
      <c r="F42" s="17"/>
      <c r="G42" s="17"/>
      <c r="H42" s="16"/>
      <c r="I42" s="33" t="s">
        <v>101</v>
      </c>
    </row>
    <row r="43" ht="66.75" customHeight="1" spans="1:9">
      <c r="A43" s="20">
        <v>40</v>
      </c>
      <c r="B43" s="19" t="s">
        <v>102</v>
      </c>
      <c r="C43" s="11">
        <v>6</v>
      </c>
      <c r="D43" s="11">
        <v>0</v>
      </c>
      <c r="E43" s="16"/>
      <c r="F43" s="17">
        <v>9</v>
      </c>
      <c r="G43" s="17">
        <v>3</v>
      </c>
      <c r="H43" s="16" t="s">
        <v>103</v>
      </c>
      <c r="I43" s="33" t="s">
        <v>101</v>
      </c>
    </row>
    <row r="44" ht="105" customHeight="1" spans="1:9">
      <c r="A44" s="20">
        <v>41</v>
      </c>
      <c r="B44" s="19" t="s">
        <v>104</v>
      </c>
      <c r="C44" s="23" t="s">
        <v>105</v>
      </c>
      <c r="D44" s="23" t="s">
        <v>106</v>
      </c>
      <c r="E44" s="16" t="s">
        <v>107</v>
      </c>
      <c r="F44" s="17">
        <f t="shared" ref="F44" si="10">G44+6</f>
        <v>7</v>
      </c>
      <c r="G44" s="17">
        <v>1</v>
      </c>
      <c r="H44" s="18" t="s">
        <v>108</v>
      </c>
      <c r="I44" s="33" t="s">
        <v>109</v>
      </c>
    </row>
    <row r="45" ht="54" spans="1:9">
      <c r="A45" s="20">
        <v>42</v>
      </c>
      <c r="B45" s="19" t="s">
        <v>110</v>
      </c>
      <c r="C45" s="11">
        <f t="shared" ref="C45:C46" si="11">D45+6</f>
        <v>12</v>
      </c>
      <c r="D45" s="11">
        <v>6</v>
      </c>
      <c r="E45" s="16" t="s">
        <v>111</v>
      </c>
      <c r="F45" s="17"/>
      <c r="G45" s="17"/>
      <c r="H45" s="18"/>
      <c r="I45" s="33" t="s">
        <v>109</v>
      </c>
    </row>
    <row r="46" ht="30.75" customHeight="1" spans="1:9">
      <c r="A46" s="20">
        <v>43</v>
      </c>
      <c r="B46" s="24" t="s">
        <v>112</v>
      </c>
      <c r="C46" s="11">
        <f t="shared" si="11"/>
        <v>7</v>
      </c>
      <c r="D46" s="11">
        <v>1</v>
      </c>
      <c r="E46" s="16" t="s">
        <v>48</v>
      </c>
      <c r="F46" s="17"/>
      <c r="G46" s="17"/>
      <c r="H46" s="18"/>
      <c r="I46" s="33" t="s">
        <v>109</v>
      </c>
    </row>
    <row r="47" ht="105" customHeight="1" spans="1:9">
      <c r="A47" s="20">
        <v>44</v>
      </c>
      <c r="B47" s="19" t="s">
        <v>113</v>
      </c>
      <c r="C47" s="25"/>
      <c r="D47" s="25"/>
      <c r="E47" s="16" t="s">
        <v>114</v>
      </c>
      <c r="F47" s="17"/>
      <c r="G47" s="17"/>
      <c r="H47" s="18"/>
      <c r="I47" s="33" t="s">
        <v>109</v>
      </c>
    </row>
    <row r="48" ht="102" customHeight="1" spans="1:9">
      <c r="A48" s="20">
        <v>45</v>
      </c>
      <c r="B48" s="19" t="s">
        <v>115</v>
      </c>
      <c r="C48" s="11">
        <f t="shared" ref="C48" si="12">D48+6</f>
        <v>6</v>
      </c>
      <c r="D48" s="11">
        <v>0</v>
      </c>
      <c r="E48" s="16"/>
      <c r="F48" s="17"/>
      <c r="G48" s="25"/>
      <c r="H48" s="16" t="s">
        <v>116</v>
      </c>
      <c r="I48" s="33" t="s">
        <v>109</v>
      </c>
    </row>
    <row r="49" ht="108" spans="1:9">
      <c r="A49" s="21">
        <v>46</v>
      </c>
      <c r="B49" s="19" t="s">
        <v>117</v>
      </c>
      <c r="C49" s="11">
        <v>13</v>
      </c>
      <c r="D49" s="11">
        <v>8</v>
      </c>
      <c r="E49" s="16" t="s">
        <v>118</v>
      </c>
      <c r="F49" s="17">
        <f t="shared" ref="F49:F50" si="13">G49+6</f>
        <v>8</v>
      </c>
      <c r="G49" s="17">
        <v>2</v>
      </c>
      <c r="H49" s="16"/>
      <c r="I49" s="32"/>
    </row>
    <row r="50" ht="30.75" customHeight="1" spans="1:9">
      <c r="A50" s="14">
        <v>47</v>
      </c>
      <c r="B50" s="19" t="s">
        <v>119</v>
      </c>
      <c r="C50" s="11">
        <f>D50+6</f>
        <v>6</v>
      </c>
      <c r="D50" s="11">
        <v>0</v>
      </c>
      <c r="E50" s="16" t="s">
        <v>120</v>
      </c>
      <c r="F50" s="17">
        <f t="shared" si="13"/>
        <v>7</v>
      </c>
      <c r="G50" s="17">
        <v>1</v>
      </c>
      <c r="H50" s="18" t="s">
        <v>121</v>
      </c>
      <c r="I50" s="32"/>
    </row>
    <row r="51" ht="81" spans="1:9">
      <c r="A51" s="14">
        <v>48</v>
      </c>
      <c r="B51" s="26" t="s">
        <v>122</v>
      </c>
      <c r="C51" s="11">
        <f t="shared" ref="C51" si="14">D51+6</f>
        <v>8</v>
      </c>
      <c r="D51" s="11">
        <v>2</v>
      </c>
      <c r="E51" s="16" t="s">
        <v>123</v>
      </c>
      <c r="F51" s="17">
        <f t="shared" ref="F51" si="15">G51+6</f>
        <v>18</v>
      </c>
      <c r="G51" s="17">
        <v>12</v>
      </c>
      <c r="H51" s="16" t="s">
        <v>124</v>
      </c>
      <c r="I51" s="32"/>
    </row>
    <row r="52" ht="67.5" spans="1:9">
      <c r="A52" s="14">
        <v>49</v>
      </c>
      <c r="B52" s="27" t="s">
        <v>125</v>
      </c>
      <c r="C52" s="11">
        <f t="shared" ref="C52:C54" si="16">D52+6</f>
        <v>7</v>
      </c>
      <c r="D52" s="11">
        <v>1</v>
      </c>
      <c r="E52" s="16" t="s">
        <v>54</v>
      </c>
      <c r="F52" s="17">
        <f t="shared" ref="F52" si="17">G52+6</f>
        <v>19</v>
      </c>
      <c r="G52" s="17">
        <v>13</v>
      </c>
      <c r="H52" s="16" t="s">
        <v>126</v>
      </c>
      <c r="I52" s="32"/>
    </row>
    <row r="53" ht="32.25" customHeight="1" spans="1:9">
      <c r="A53" s="14">
        <v>50</v>
      </c>
      <c r="B53" s="19" t="s">
        <v>127</v>
      </c>
      <c r="C53" s="14">
        <f t="shared" si="16"/>
        <v>8</v>
      </c>
      <c r="D53" s="14">
        <v>2</v>
      </c>
      <c r="E53" s="19" t="s">
        <v>95</v>
      </c>
      <c r="F53" s="14"/>
      <c r="G53" s="14"/>
      <c r="H53" s="19"/>
      <c r="I53" s="32"/>
    </row>
    <row r="54" ht="67.5" spans="1:9">
      <c r="A54" s="14">
        <v>51</v>
      </c>
      <c r="B54" s="19" t="s">
        <v>128</v>
      </c>
      <c r="C54" s="14">
        <f t="shared" si="16"/>
        <v>6</v>
      </c>
      <c r="D54" s="11">
        <v>0</v>
      </c>
      <c r="E54" s="16"/>
      <c r="F54" s="17">
        <f>G54+6</f>
        <v>19</v>
      </c>
      <c r="G54" s="17">
        <v>13</v>
      </c>
      <c r="H54" s="16" t="s">
        <v>126</v>
      </c>
      <c r="I54" s="32"/>
    </row>
    <row r="55" ht="54" spans="1:9">
      <c r="A55" s="14">
        <v>52</v>
      </c>
      <c r="B55" s="19" t="s">
        <v>129</v>
      </c>
      <c r="C55" s="14">
        <v>6</v>
      </c>
      <c r="D55" s="11">
        <v>0</v>
      </c>
      <c r="E55" s="16" t="s">
        <v>130</v>
      </c>
      <c r="F55" s="17">
        <v>10</v>
      </c>
      <c r="G55" s="17">
        <v>4</v>
      </c>
      <c r="H55" s="16" t="s">
        <v>131</v>
      </c>
      <c r="I55" s="33" t="s">
        <v>132</v>
      </c>
    </row>
    <row r="56" ht="40.5" spans="1:9">
      <c r="A56" s="14">
        <v>53</v>
      </c>
      <c r="B56" s="19" t="s">
        <v>133</v>
      </c>
      <c r="C56" s="14">
        <v>6</v>
      </c>
      <c r="D56" s="11">
        <v>0</v>
      </c>
      <c r="E56" s="16" t="s">
        <v>134</v>
      </c>
      <c r="F56" s="17">
        <v>7</v>
      </c>
      <c r="G56" s="17">
        <v>1</v>
      </c>
      <c r="H56" s="16" t="s">
        <v>135</v>
      </c>
      <c r="I56" s="32"/>
    </row>
    <row r="57" ht="80.1" customHeight="1" spans="1:9">
      <c r="A57" s="20">
        <v>54</v>
      </c>
      <c r="B57" s="19" t="s">
        <v>136</v>
      </c>
      <c r="C57" s="14">
        <v>7</v>
      </c>
      <c r="D57" s="11">
        <v>1</v>
      </c>
      <c r="E57" s="16" t="s">
        <v>137</v>
      </c>
      <c r="F57" s="17">
        <v>8</v>
      </c>
      <c r="G57" s="17"/>
      <c r="H57" s="16" t="s">
        <v>138</v>
      </c>
      <c r="I57" s="33" t="s">
        <v>132</v>
      </c>
    </row>
    <row r="58" ht="74.1" customHeight="1" spans="1:9">
      <c r="A58" s="20">
        <v>55</v>
      </c>
      <c r="B58" s="19" t="s">
        <v>139</v>
      </c>
      <c r="C58" s="14">
        <v>8</v>
      </c>
      <c r="D58" s="11">
        <v>2</v>
      </c>
      <c r="E58" s="16" t="s">
        <v>138</v>
      </c>
      <c r="F58" s="17"/>
      <c r="G58" s="17"/>
      <c r="H58" s="16"/>
      <c r="I58" s="33" t="s">
        <v>132</v>
      </c>
    </row>
    <row r="59" ht="47.1" customHeight="1" spans="1:9">
      <c r="A59" s="21">
        <v>56</v>
      </c>
      <c r="B59" s="19" t="s">
        <v>140</v>
      </c>
      <c r="C59" s="14">
        <f>D59+6</f>
        <v>7</v>
      </c>
      <c r="D59" s="11">
        <v>1</v>
      </c>
      <c r="E59" s="16" t="s">
        <v>135</v>
      </c>
      <c r="F59" s="17"/>
      <c r="G59" s="17"/>
      <c r="H59" s="16"/>
      <c r="I59" s="32"/>
    </row>
    <row r="60" ht="366" customHeight="1" spans="1:9">
      <c r="A60" s="21">
        <v>57</v>
      </c>
      <c r="B60" s="19" t="s">
        <v>141</v>
      </c>
      <c r="C60" s="14">
        <f>D60+6</f>
        <v>7</v>
      </c>
      <c r="D60" s="11">
        <v>1</v>
      </c>
      <c r="E60" s="16" t="s">
        <v>142</v>
      </c>
      <c r="F60" s="17"/>
      <c r="G60" s="17"/>
      <c r="H60" s="16"/>
      <c r="I60" s="34"/>
    </row>
    <row r="61" ht="54" spans="1:9">
      <c r="A61" s="20">
        <v>58</v>
      </c>
      <c r="B61" s="19" t="s">
        <v>143</v>
      </c>
      <c r="C61" s="14">
        <f t="shared" ref="C61:C65" si="18">D61+6</f>
        <v>10</v>
      </c>
      <c r="D61" s="11">
        <v>4</v>
      </c>
      <c r="E61" s="16" t="s">
        <v>144</v>
      </c>
      <c r="F61" s="17"/>
      <c r="G61" s="17"/>
      <c r="H61" s="16"/>
      <c r="I61" s="33" t="s">
        <v>132</v>
      </c>
    </row>
    <row r="62" ht="57" spans="1:9">
      <c r="A62" s="14">
        <v>59</v>
      </c>
      <c r="B62" s="19" t="s">
        <v>145</v>
      </c>
      <c r="C62" s="14">
        <f t="shared" si="18"/>
        <v>6</v>
      </c>
      <c r="D62" s="14">
        <v>0</v>
      </c>
      <c r="E62" s="19"/>
      <c r="F62" s="14">
        <v>9</v>
      </c>
      <c r="G62" s="14">
        <v>3</v>
      </c>
      <c r="H62" s="19" t="s">
        <v>146</v>
      </c>
      <c r="I62" s="32"/>
    </row>
    <row r="63" ht="71.25" spans="1:9">
      <c r="A63" s="14">
        <v>60</v>
      </c>
      <c r="B63" s="19" t="s">
        <v>147</v>
      </c>
      <c r="C63" s="14">
        <f t="shared" si="18"/>
        <v>6</v>
      </c>
      <c r="D63" s="14">
        <v>0</v>
      </c>
      <c r="E63" s="19"/>
      <c r="F63" s="14">
        <v>10</v>
      </c>
      <c r="G63" s="14">
        <v>4</v>
      </c>
      <c r="H63" s="19" t="s">
        <v>148</v>
      </c>
      <c r="I63" s="32"/>
    </row>
    <row r="64" ht="99.75" spans="1:9">
      <c r="A64" s="14">
        <v>61</v>
      </c>
      <c r="B64" s="19" t="s">
        <v>149</v>
      </c>
      <c r="C64" s="14">
        <f t="shared" si="18"/>
        <v>8</v>
      </c>
      <c r="D64" s="14">
        <v>2</v>
      </c>
      <c r="E64" s="19" t="s">
        <v>150</v>
      </c>
      <c r="F64" s="14"/>
      <c r="G64" s="14"/>
      <c r="H64" s="19" t="s">
        <v>151</v>
      </c>
      <c r="I64" s="32"/>
    </row>
    <row r="65" spans="1:9">
      <c r="A65" s="14">
        <v>62</v>
      </c>
      <c r="B65" s="19" t="s">
        <v>152</v>
      </c>
      <c r="C65" s="14">
        <f t="shared" si="18"/>
        <v>6</v>
      </c>
      <c r="D65" s="14">
        <v>0</v>
      </c>
      <c r="E65" s="19" t="s">
        <v>153</v>
      </c>
      <c r="F65" s="14"/>
      <c r="G65" s="14"/>
      <c r="H65" s="19"/>
      <c r="I65" s="32"/>
    </row>
    <row r="66" ht="194" customHeight="1" spans="1:9">
      <c r="A66" s="11">
        <v>63</v>
      </c>
      <c r="B66" s="18" t="s">
        <v>154</v>
      </c>
      <c r="C66" s="11">
        <v>7</v>
      </c>
      <c r="D66" s="11">
        <v>1</v>
      </c>
      <c r="E66" s="16" t="s">
        <v>155</v>
      </c>
      <c r="F66" s="17"/>
      <c r="G66" s="17"/>
      <c r="H66" s="18"/>
      <c r="I66" s="32"/>
    </row>
    <row r="67" spans="1:9">
      <c r="A67" s="20">
        <v>64</v>
      </c>
      <c r="B67" s="19" t="s">
        <v>156</v>
      </c>
      <c r="C67" s="14">
        <v>7</v>
      </c>
      <c r="D67" s="14">
        <v>1</v>
      </c>
      <c r="E67" s="19" t="s">
        <v>157</v>
      </c>
      <c r="F67" s="35"/>
      <c r="G67" s="35"/>
      <c r="H67" s="36"/>
      <c r="I67" s="33" t="s">
        <v>158</v>
      </c>
    </row>
    <row r="68" ht="41.1" customHeight="1" spans="1:9">
      <c r="A68" s="11">
        <v>65</v>
      </c>
      <c r="B68" s="16" t="s">
        <v>159</v>
      </c>
      <c r="C68" s="11">
        <v>6</v>
      </c>
      <c r="D68" s="11">
        <v>0</v>
      </c>
      <c r="E68" s="16"/>
      <c r="F68" s="17"/>
      <c r="G68" s="17"/>
      <c r="H68" s="18"/>
      <c r="I68" s="33" t="s">
        <v>160</v>
      </c>
    </row>
    <row r="69" ht="81" spans="1:9">
      <c r="A69" s="14">
        <v>66</v>
      </c>
      <c r="B69" s="19" t="s">
        <v>161</v>
      </c>
      <c r="C69" s="11">
        <f t="shared" ref="C69:C71" si="19">D69+6</f>
        <v>24</v>
      </c>
      <c r="D69" s="11">
        <v>18</v>
      </c>
      <c r="E69" s="16" t="s">
        <v>162</v>
      </c>
      <c r="F69" s="17"/>
      <c r="G69" s="17"/>
      <c r="H69" s="18"/>
      <c r="I69" s="32"/>
    </row>
    <row r="70" ht="81" spans="1:9">
      <c r="A70" s="14">
        <v>67</v>
      </c>
      <c r="B70" s="19" t="s">
        <v>163</v>
      </c>
      <c r="C70" s="11">
        <f t="shared" si="19"/>
        <v>24</v>
      </c>
      <c r="D70" s="11">
        <v>18</v>
      </c>
      <c r="E70" s="16" t="s">
        <v>162</v>
      </c>
      <c r="F70" s="17"/>
      <c r="G70" s="17"/>
      <c r="H70" s="18"/>
      <c r="I70" s="32"/>
    </row>
    <row r="71" ht="27" spans="1:9">
      <c r="A71" s="14">
        <v>68</v>
      </c>
      <c r="B71" s="19" t="s">
        <v>164</v>
      </c>
      <c r="C71" s="11">
        <f t="shared" si="19"/>
        <v>8</v>
      </c>
      <c r="D71" s="11">
        <v>2</v>
      </c>
      <c r="E71" s="16" t="s">
        <v>165</v>
      </c>
      <c r="F71" s="17"/>
      <c r="G71" s="17"/>
      <c r="H71" s="18"/>
      <c r="I71" s="32"/>
    </row>
    <row r="72" ht="81.95" customHeight="1" spans="1:9">
      <c r="A72" s="14">
        <v>69</v>
      </c>
      <c r="B72" s="19" t="s">
        <v>166</v>
      </c>
      <c r="C72" s="11">
        <v>7</v>
      </c>
      <c r="D72" s="11">
        <v>1</v>
      </c>
      <c r="E72" s="16" t="s">
        <v>167</v>
      </c>
      <c r="F72" s="17"/>
      <c r="G72" s="17"/>
      <c r="H72" s="18"/>
      <c r="I72" s="32"/>
    </row>
    <row r="73" ht="111.95" customHeight="1" spans="1:9">
      <c r="A73" s="14">
        <v>70</v>
      </c>
      <c r="B73" s="19" t="s">
        <v>168</v>
      </c>
      <c r="C73" s="37" t="s">
        <v>169</v>
      </c>
      <c r="D73" s="11"/>
      <c r="E73" s="16" t="s">
        <v>170</v>
      </c>
      <c r="F73" s="17"/>
      <c r="G73" s="17"/>
      <c r="H73" s="18"/>
      <c r="I73" s="32"/>
    </row>
    <row r="74" ht="81" spans="1:9">
      <c r="A74" s="14">
        <v>71</v>
      </c>
      <c r="B74" s="19" t="s">
        <v>171</v>
      </c>
      <c r="C74" s="11">
        <v>11</v>
      </c>
      <c r="D74" s="11">
        <v>5</v>
      </c>
      <c r="E74" s="16" t="s">
        <v>172</v>
      </c>
      <c r="F74" s="17"/>
      <c r="G74" s="17"/>
      <c r="H74" s="18"/>
      <c r="I74" s="32"/>
    </row>
    <row r="75" ht="54" spans="1:9">
      <c r="A75" s="14">
        <v>72</v>
      </c>
      <c r="B75" s="19" t="s">
        <v>173</v>
      </c>
      <c r="C75" s="11">
        <f t="shared" ref="C75:C79" si="20">D75+6</f>
        <v>8</v>
      </c>
      <c r="D75" s="11">
        <v>2</v>
      </c>
      <c r="E75" s="16" t="s">
        <v>174</v>
      </c>
      <c r="F75" s="17"/>
      <c r="G75" s="17"/>
      <c r="H75" s="18"/>
      <c r="I75" s="32"/>
    </row>
    <row r="76" ht="78" customHeight="1" spans="1:9">
      <c r="A76" s="14">
        <v>73</v>
      </c>
      <c r="B76" s="19" t="s">
        <v>175</v>
      </c>
      <c r="C76" s="11">
        <f t="shared" si="20"/>
        <v>12</v>
      </c>
      <c r="D76" s="11">
        <v>6</v>
      </c>
      <c r="E76" s="16" t="s">
        <v>176</v>
      </c>
      <c r="F76" s="17"/>
      <c r="G76" s="17"/>
      <c r="H76" s="18"/>
      <c r="I76" s="32"/>
    </row>
    <row r="77" ht="85.5" customHeight="1" spans="1:9">
      <c r="A77" s="14">
        <v>74</v>
      </c>
      <c r="B77" s="19" t="s">
        <v>177</v>
      </c>
      <c r="C77" s="11">
        <f t="shared" si="20"/>
        <v>11</v>
      </c>
      <c r="D77" s="11">
        <v>5</v>
      </c>
      <c r="E77" s="38" t="s">
        <v>178</v>
      </c>
      <c r="F77" s="17"/>
      <c r="G77" s="17"/>
      <c r="H77" s="18"/>
      <c r="I77" s="32"/>
    </row>
    <row r="78" ht="78.75" customHeight="1" spans="1:9">
      <c r="A78" s="14">
        <v>75</v>
      </c>
      <c r="B78" s="19" t="s">
        <v>179</v>
      </c>
      <c r="C78" s="11">
        <f t="shared" si="20"/>
        <v>9</v>
      </c>
      <c r="D78" s="11">
        <v>3</v>
      </c>
      <c r="E78" s="16" t="s">
        <v>180</v>
      </c>
      <c r="F78" s="17"/>
      <c r="G78" s="17"/>
      <c r="H78" s="18"/>
      <c r="I78" s="32"/>
    </row>
    <row r="79" ht="128.1" customHeight="1" spans="1:9">
      <c r="A79" s="39">
        <v>76</v>
      </c>
      <c r="B79" s="16" t="s">
        <v>181</v>
      </c>
      <c r="C79" s="40">
        <f t="shared" si="20"/>
        <v>7</v>
      </c>
      <c r="D79" s="40">
        <v>1</v>
      </c>
      <c r="E79" s="16" t="s">
        <v>182</v>
      </c>
      <c r="F79" s="41">
        <f t="shared" ref="F79:F83" si="21">G79+6</f>
        <v>22</v>
      </c>
      <c r="G79" s="41">
        <v>16</v>
      </c>
      <c r="H79" s="16" t="s">
        <v>183</v>
      </c>
      <c r="I79" s="33" t="s">
        <v>184</v>
      </c>
    </row>
    <row r="80" ht="48" customHeight="1" spans="1:9">
      <c r="A80" s="11">
        <v>77</v>
      </c>
      <c r="B80" s="16" t="s">
        <v>185</v>
      </c>
      <c r="C80" s="11">
        <v>6</v>
      </c>
      <c r="D80" s="11">
        <v>0</v>
      </c>
      <c r="E80" s="16"/>
      <c r="F80" s="17">
        <v>8</v>
      </c>
      <c r="G80" s="17">
        <v>2</v>
      </c>
      <c r="H80" s="18" t="s">
        <v>186</v>
      </c>
      <c r="I80" s="32"/>
    </row>
    <row r="81" ht="374.25" customHeight="1" spans="1:9">
      <c r="A81" s="17">
        <v>78</v>
      </c>
      <c r="B81" s="16" t="s">
        <v>187</v>
      </c>
      <c r="C81" s="17">
        <v>6</v>
      </c>
      <c r="D81" s="17">
        <v>0</v>
      </c>
      <c r="E81" s="16"/>
      <c r="F81" s="17">
        <f>G81+6</f>
        <v>7</v>
      </c>
      <c r="G81" s="17">
        <v>1</v>
      </c>
      <c r="H81" s="16" t="s">
        <v>142</v>
      </c>
      <c r="I81" s="33" t="s">
        <v>188</v>
      </c>
    </row>
    <row r="82" ht="408" customHeight="1" spans="1:9">
      <c r="A82" s="42">
        <v>79</v>
      </c>
      <c r="B82" s="16" t="s">
        <v>189</v>
      </c>
      <c r="C82" s="17">
        <f>D82+6</f>
        <v>61</v>
      </c>
      <c r="D82" s="17">
        <v>55</v>
      </c>
      <c r="E82" s="16" t="s">
        <v>190</v>
      </c>
      <c r="F82" s="17"/>
      <c r="G82" s="17"/>
      <c r="H82" s="16"/>
      <c r="I82" s="32"/>
    </row>
    <row r="83" ht="409.5" spans="1:9">
      <c r="A83" s="17">
        <v>80</v>
      </c>
      <c r="B83" s="16" t="s">
        <v>191</v>
      </c>
      <c r="C83" s="17">
        <v>6</v>
      </c>
      <c r="D83" s="17">
        <v>0</v>
      </c>
      <c r="E83" s="16"/>
      <c r="F83" s="17">
        <f t="shared" si="21"/>
        <v>61</v>
      </c>
      <c r="G83" s="17">
        <v>55</v>
      </c>
      <c r="H83" s="16" t="s">
        <v>192</v>
      </c>
      <c r="I83" s="32"/>
    </row>
    <row r="84" ht="162" spans="1:9">
      <c r="A84" s="42">
        <v>81</v>
      </c>
      <c r="B84" s="16" t="s">
        <v>193</v>
      </c>
      <c r="C84" s="17">
        <v>15</v>
      </c>
      <c r="D84" s="17">
        <v>9</v>
      </c>
      <c r="E84" s="16" t="s">
        <v>194</v>
      </c>
      <c r="F84" s="17"/>
      <c r="G84" s="17"/>
      <c r="H84" s="16"/>
      <c r="I84" s="32"/>
    </row>
    <row r="85" ht="171" customHeight="1" spans="1:9">
      <c r="A85" s="17">
        <v>82</v>
      </c>
      <c r="B85" s="16" t="s">
        <v>195</v>
      </c>
      <c r="C85" s="17">
        <v>6</v>
      </c>
      <c r="D85" s="17">
        <v>0</v>
      </c>
      <c r="E85" s="16"/>
      <c r="F85" s="17">
        <v>15</v>
      </c>
      <c r="G85" s="17">
        <v>9</v>
      </c>
      <c r="H85" s="16" t="s">
        <v>194</v>
      </c>
      <c r="I85" s="32"/>
    </row>
    <row r="86" ht="54" spans="1:9">
      <c r="A86" s="14">
        <v>83</v>
      </c>
      <c r="B86" s="15" t="s">
        <v>196</v>
      </c>
      <c r="C86" s="11">
        <f t="shared" ref="C86:C90" si="22">D86+6</f>
        <v>7</v>
      </c>
      <c r="D86" s="11">
        <v>1</v>
      </c>
      <c r="E86" s="16" t="s">
        <v>54</v>
      </c>
      <c r="F86" s="17">
        <f t="shared" ref="F86:F87" si="23">G86+6</f>
        <v>22</v>
      </c>
      <c r="G86" s="17">
        <v>16</v>
      </c>
      <c r="H86" s="16" t="s">
        <v>197</v>
      </c>
      <c r="I86" s="32"/>
    </row>
    <row r="87" ht="62.25" customHeight="1" spans="1:9">
      <c r="A87" s="14">
        <v>84</v>
      </c>
      <c r="B87" s="15" t="s">
        <v>198</v>
      </c>
      <c r="C87" s="11">
        <f t="shared" si="22"/>
        <v>7</v>
      </c>
      <c r="D87" s="11">
        <v>1</v>
      </c>
      <c r="E87" s="16" t="s">
        <v>54</v>
      </c>
      <c r="F87" s="17">
        <f t="shared" si="23"/>
        <v>22</v>
      </c>
      <c r="G87" s="17">
        <v>16</v>
      </c>
      <c r="H87" s="16" t="s">
        <v>197</v>
      </c>
      <c r="I87" s="32"/>
    </row>
    <row r="88" ht="93" customHeight="1" spans="1:9">
      <c r="A88" s="14">
        <v>85</v>
      </c>
      <c r="B88" s="19" t="s">
        <v>199</v>
      </c>
      <c r="C88" s="11">
        <f t="shared" si="22"/>
        <v>24</v>
      </c>
      <c r="D88" s="11">
        <v>18</v>
      </c>
      <c r="E88" s="16" t="s">
        <v>200</v>
      </c>
      <c r="F88" s="17"/>
      <c r="G88" s="17"/>
      <c r="H88" s="18"/>
      <c r="I88" s="32"/>
    </row>
    <row r="89" ht="89.1" customHeight="1" spans="1:9">
      <c r="A89" s="11">
        <v>86</v>
      </c>
      <c r="B89" s="19" t="s">
        <v>201</v>
      </c>
      <c r="C89" s="11">
        <f t="shared" si="22"/>
        <v>24</v>
      </c>
      <c r="D89" s="11">
        <v>18</v>
      </c>
      <c r="E89" s="16" t="s">
        <v>200</v>
      </c>
      <c r="F89" s="17"/>
      <c r="G89" s="17"/>
      <c r="H89" s="18"/>
      <c r="I89" s="32"/>
    </row>
    <row r="90" ht="30.95" customHeight="1" spans="1:16">
      <c r="A90" s="11">
        <v>87</v>
      </c>
      <c r="B90" s="16" t="s">
        <v>60</v>
      </c>
      <c r="C90" s="13">
        <f t="shared" si="22"/>
        <v>6</v>
      </c>
      <c r="D90" s="13">
        <v>0</v>
      </c>
      <c r="E90" s="16"/>
      <c r="F90" s="17"/>
      <c r="G90" s="17"/>
      <c r="H90" s="18"/>
      <c r="I90" s="32"/>
      <c r="P90" s="52"/>
    </row>
    <row r="91" ht="81" customHeight="1" spans="1:9">
      <c r="A91" s="14">
        <v>88</v>
      </c>
      <c r="B91" s="19" t="s">
        <v>202</v>
      </c>
      <c r="C91" s="11">
        <f t="shared" ref="C91:C95" si="24">D91+6</f>
        <v>24</v>
      </c>
      <c r="D91" s="11">
        <v>18</v>
      </c>
      <c r="E91" s="16" t="s">
        <v>200</v>
      </c>
      <c r="F91" s="17"/>
      <c r="G91" s="17"/>
      <c r="H91" s="18"/>
      <c r="I91" s="32"/>
    </row>
    <row r="92" ht="78" customHeight="1" spans="1:9">
      <c r="A92" s="11">
        <v>89</v>
      </c>
      <c r="B92" s="19" t="s">
        <v>203</v>
      </c>
      <c r="C92" s="11">
        <f t="shared" si="24"/>
        <v>24</v>
      </c>
      <c r="D92" s="11">
        <v>18</v>
      </c>
      <c r="E92" s="16" t="s">
        <v>200</v>
      </c>
      <c r="F92" s="17"/>
      <c r="G92" s="17"/>
      <c r="H92" s="18"/>
      <c r="I92" s="32"/>
    </row>
    <row r="93" ht="33" customHeight="1" spans="1:9">
      <c r="A93" s="11">
        <v>90</v>
      </c>
      <c r="B93" s="16" t="s">
        <v>63</v>
      </c>
      <c r="C93" s="13">
        <f t="shared" si="24"/>
        <v>7</v>
      </c>
      <c r="D93" s="13">
        <v>1</v>
      </c>
      <c r="E93" s="16" t="s">
        <v>48</v>
      </c>
      <c r="F93" s="17"/>
      <c r="G93" s="17"/>
      <c r="H93" s="18"/>
      <c r="I93" s="32"/>
    </row>
    <row r="94" ht="99" customHeight="1" spans="1:9">
      <c r="A94" s="11">
        <v>91</v>
      </c>
      <c r="B94" s="19" t="s">
        <v>204</v>
      </c>
      <c r="C94" s="11">
        <f t="shared" si="24"/>
        <v>28</v>
      </c>
      <c r="D94" s="11">
        <v>22</v>
      </c>
      <c r="E94" s="16" t="s">
        <v>205</v>
      </c>
      <c r="F94" s="17"/>
      <c r="G94" s="17"/>
      <c r="H94" s="18"/>
      <c r="I94" s="32"/>
    </row>
    <row r="95" ht="94.5" spans="1:9">
      <c r="A95" s="14">
        <v>92</v>
      </c>
      <c r="B95" s="19" t="s">
        <v>206</v>
      </c>
      <c r="C95" s="11">
        <f t="shared" si="24"/>
        <v>28</v>
      </c>
      <c r="D95" s="11">
        <v>22</v>
      </c>
      <c r="E95" s="16" t="s">
        <v>205</v>
      </c>
      <c r="F95" s="17"/>
      <c r="G95" s="17"/>
      <c r="H95" s="18"/>
      <c r="I95" s="32"/>
    </row>
    <row r="96" ht="27" spans="1:9">
      <c r="A96" s="11">
        <v>93</v>
      </c>
      <c r="B96" s="19" t="s">
        <v>207</v>
      </c>
      <c r="C96" s="11">
        <v>7</v>
      </c>
      <c r="D96" s="11">
        <v>1</v>
      </c>
      <c r="E96" s="16" t="s">
        <v>167</v>
      </c>
      <c r="F96" s="17"/>
      <c r="G96" s="17"/>
      <c r="H96" s="18"/>
      <c r="I96" s="32"/>
    </row>
    <row r="97" ht="66" customHeight="1" spans="1:9">
      <c r="A97" s="14">
        <v>94</v>
      </c>
      <c r="B97" s="15" t="s">
        <v>208</v>
      </c>
      <c r="C97" s="11">
        <f t="shared" ref="C97:C99" si="25">D97+6</f>
        <v>22</v>
      </c>
      <c r="D97" s="11">
        <v>16</v>
      </c>
      <c r="E97" s="16" t="s">
        <v>209</v>
      </c>
      <c r="F97" s="17"/>
      <c r="G97" s="17"/>
      <c r="H97" s="18"/>
      <c r="I97" s="32"/>
    </row>
    <row r="98" ht="54" spans="1:9">
      <c r="A98" s="14">
        <v>95</v>
      </c>
      <c r="B98" s="15" t="s">
        <v>210</v>
      </c>
      <c r="C98" s="43">
        <f t="shared" si="25"/>
        <v>22</v>
      </c>
      <c r="D98" s="43">
        <v>16</v>
      </c>
      <c r="E98" s="15" t="s">
        <v>209</v>
      </c>
      <c r="F98" s="43"/>
      <c r="G98" s="43"/>
      <c r="H98" s="15"/>
      <c r="I98" s="32"/>
    </row>
    <row r="99" ht="33" customHeight="1" spans="1:9">
      <c r="A99" s="44">
        <v>96</v>
      </c>
      <c r="B99" s="15" t="s">
        <v>211</v>
      </c>
      <c r="C99" s="43">
        <f t="shared" si="25"/>
        <v>7</v>
      </c>
      <c r="D99" s="43">
        <v>1</v>
      </c>
      <c r="E99" s="15" t="s">
        <v>212</v>
      </c>
      <c r="F99" s="43"/>
      <c r="G99" s="43"/>
      <c r="H99" s="15"/>
      <c r="I99" s="33" t="s">
        <v>213</v>
      </c>
    </row>
    <row r="100" ht="31.5" customHeight="1" spans="1:9">
      <c r="A100" s="45">
        <v>97</v>
      </c>
      <c r="B100" s="15" t="s">
        <v>214</v>
      </c>
      <c r="C100" s="43">
        <v>18</v>
      </c>
      <c r="D100" s="43">
        <v>12</v>
      </c>
      <c r="E100" s="15" t="s">
        <v>215</v>
      </c>
      <c r="F100" s="43"/>
      <c r="G100" s="43"/>
      <c r="H100" s="15"/>
      <c r="I100" s="32"/>
    </row>
    <row r="101" ht="40.5" spans="1:9">
      <c r="A101" s="11">
        <v>98</v>
      </c>
      <c r="B101" s="15" t="s">
        <v>216</v>
      </c>
      <c r="C101" s="43">
        <f>D101+6</f>
        <v>7</v>
      </c>
      <c r="D101" s="43">
        <v>1</v>
      </c>
      <c r="E101" s="15" t="s">
        <v>217</v>
      </c>
      <c r="F101" s="43"/>
      <c r="G101" s="43"/>
      <c r="H101" s="15"/>
      <c r="I101" s="32"/>
    </row>
    <row r="102" ht="60" customHeight="1" spans="1:9">
      <c r="A102" s="14">
        <v>99</v>
      </c>
      <c r="B102" s="19" t="s">
        <v>218</v>
      </c>
      <c r="C102" s="11">
        <v>7</v>
      </c>
      <c r="D102" s="11">
        <v>1</v>
      </c>
      <c r="E102" s="16" t="s">
        <v>48</v>
      </c>
      <c r="F102" s="17"/>
      <c r="G102" s="17"/>
      <c r="H102" s="16"/>
      <c r="I102" s="32"/>
    </row>
    <row r="103" ht="54" spans="1:9">
      <c r="A103" s="20">
        <v>100</v>
      </c>
      <c r="B103" s="19" t="s">
        <v>219</v>
      </c>
      <c r="C103" s="11">
        <f t="shared" ref="C103:C105" si="26">D103+6</f>
        <v>10</v>
      </c>
      <c r="D103" s="11">
        <v>4</v>
      </c>
      <c r="E103" s="16" t="s">
        <v>220</v>
      </c>
      <c r="F103" s="17"/>
      <c r="G103" s="17"/>
      <c r="H103" s="18"/>
      <c r="I103" s="32"/>
    </row>
    <row r="104" ht="54" spans="1:9">
      <c r="A104" s="20">
        <v>101</v>
      </c>
      <c r="B104" s="19" t="s">
        <v>221</v>
      </c>
      <c r="C104" s="11">
        <f t="shared" si="26"/>
        <v>7</v>
      </c>
      <c r="D104" s="11">
        <v>1</v>
      </c>
      <c r="E104" s="16" t="s">
        <v>222</v>
      </c>
      <c r="F104" s="17"/>
      <c r="G104" s="17"/>
      <c r="H104" s="18"/>
      <c r="I104" s="32"/>
    </row>
    <row r="105" ht="135" customHeight="1" spans="1:9">
      <c r="A105" s="11">
        <v>100</v>
      </c>
      <c r="B105" s="15" t="s">
        <v>223</v>
      </c>
      <c r="C105" s="11">
        <f t="shared" si="26"/>
        <v>33</v>
      </c>
      <c r="D105" s="11">
        <v>27</v>
      </c>
      <c r="E105" s="16" t="s">
        <v>224</v>
      </c>
      <c r="F105" s="43"/>
      <c r="G105" s="43"/>
      <c r="H105" s="15"/>
      <c r="I105" s="32"/>
    </row>
    <row r="106" ht="117" customHeight="1" spans="1:9">
      <c r="A106" s="11">
        <v>101</v>
      </c>
      <c r="B106" s="15" t="s">
        <v>225</v>
      </c>
      <c r="C106" s="11">
        <f t="shared" ref="C106:C108" si="27">D106+6</f>
        <v>33</v>
      </c>
      <c r="D106" s="11">
        <v>27</v>
      </c>
      <c r="E106" s="16" t="s">
        <v>226</v>
      </c>
      <c r="F106" s="43"/>
      <c r="G106" s="43"/>
      <c r="H106" s="15"/>
      <c r="I106" s="32"/>
    </row>
    <row r="107" ht="98.25" customHeight="1" spans="1:9">
      <c r="A107" s="44">
        <v>102</v>
      </c>
      <c r="B107" s="15" t="s">
        <v>227</v>
      </c>
      <c r="C107" s="11">
        <f t="shared" si="27"/>
        <v>126</v>
      </c>
      <c r="D107" s="11">
        <v>120</v>
      </c>
      <c r="E107" s="16" t="s">
        <v>228</v>
      </c>
      <c r="F107" s="17"/>
      <c r="G107" s="17"/>
      <c r="H107" s="16"/>
      <c r="I107" s="32"/>
    </row>
    <row r="108" ht="69" customHeight="1" spans="1:9">
      <c r="A108" s="44">
        <v>103</v>
      </c>
      <c r="B108" s="15" t="s">
        <v>229</v>
      </c>
      <c r="C108" s="14">
        <f t="shared" si="27"/>
        <v>6</v>
      </c>
      <c r="D108" s="11">
        <v>0</v>
      </c>
      <c r="E108" s="16"/>
      <c r="F108" s="11">
        <f>G108+6</f>
        <v>126</v>
      </c>
      <c r="G108" s="11">
        <v>120</v>
      </c>
      <c r="H108" s="16" t="s">
        <v>228</v>
      </c>
      <c r="I108" s="32"/>
    </row>
    <row r="109" ht="111" customHeight="1" spans="1:9">
      <c r="A109" s="45">
        <v>104</v>
      </c>
      <c r="B109" s="15" t="s">
        <v>230</v>
      </c>
      <c r="C109" s="11"/>
      <c r="D109" s="11"/>
      <c r="E109" s="16" t="s">
        <v>231</v>
      </c>
      <c r="F109" s="17"/>
      <c r="G109" s="17"/>
      <c r="H109" s="16"/>
      <c r="I109" s="32"/>
    </row>
    <row r="110" ht="87" customHeight="1" spans="1:9">
      <c r="A110" s="45">
        <v>105</v>
      </c>
      <c r="B110" s="15" t="s">
        <v>232</v>
      </c>
      <c r="C110" s="11">
        <f t="shared" ref="C110" si="28">D110+6</f>
        <v>8</v>
      </c>
      <c r="D110" s="11">
        <v>2</v>
      </c>
      <c r="E110" s="16" t="s">
        <v>233</v>
      </c>
      <c r="F110" s="17"/>
      <c r="G110" s="17"/>
      <c r="H110" s="15"/>
      <c r="I110" s="32"/>
    </row>
    <row r="111" ht="72" customHeight="1" spans="1:9">
      <c r="A111" s="45">
        <v>106</v>
      </c>
      <c r="B111" s="15" t="s">
        <v>230</v>
      </c>
      <c r="C111" s="11">
        <v>8</v>
      </c>
      <c r="D111" s="11">
        <v>2</v>
      </c>
      <c r="E111" s="16" t="s">
        <v>234</v>
      </c>
      <c r="F111" s="17"/>
      <c r="G111" s="17"/>
      <c r="H111" s="16"/>
      <c r="I111" s="32"/>
    </row>
    <row r="112" ht="43.5" customHeight="1" spans="1:9">
      <c r="A112" s="11">
        <v>107</v>
      </c>
      <c r="B112" s="16" t="s">
        <v>235</v>
      </c>
      <c r="C112" s="11">
        <f>D112+6</f>
        <v>7</v>
      </c>
      <c r="D112" s="11">
        <v>1</v>
      </c>
      <c r="E112" s="16" t="s">
        <v>48</v>
      </c>
      <c r="F112" s="17">
        <v>8</v>
      </c>
      <c r="G112" s="17">
        <v>2</v>
      </c>
      <c r="H112" s="16" t="s">
        <v>236</v>
      </c>
      <c r="I112" s="32"/>
    </row>
    <row r="113" ht="42" customHeight="1" spans="1:9">
      <c r="A113" s="11">
        <v>108</v>
      </c>
      <c r="B113" s="15" t="s">
        <v>237</v>
      </c>
      <c r="C113" s="11">
        <f>D113+6</f>
        <v>12</v>
      </c>
      <c r="D113" s="11">
        <v>6</v>
      </c>
      <c r="E113" s="16" t="s">
        <v>238</v>
      </c>
      <c r="F113" s="17"/>
      <c r="G113" s="17"/>
      <c r="H113" s="18"/>
      <c r="I113" s="32"/>
    </row>
    <row r="114" ht="46.5" customHeight="1" spans="1:9">
      <c r="A114" s="11">
        <v>109</v>
      </c>
      <c r="B114" s="15" t="s">
        <v>239</v>
      </c>
      <c r="C114" s="17">
        <v>7</v>
      </c>
      <c r="D114" s="17">
        <v>1</v>
      </c>
      <c r="E114" s="16" t="s">
        <v>240</v>
      </c>
      <c r="F114" s="17">
        <v>12</v>
      </c>
      <c r="G114" s="17">
        <v>6</v>
      </c>
      <c r="H114" s="16" t="s">
        <v>241</v>
      </c>
      <c r="I114" s="32"/>
    </row>
    <row r="115" ht="63" customHeight="1" spans="1:9">
      <c r="A115" s="11">
        <v>110</v>
      </c>
      <c r="B115" s="15" t="s">
        <v>242</v>
      </c>
      <c r="C115" s="17">
        <v>8</v>
      </c>
      <c r="D115" s="17">
        <v>2</v>
      </c>
      <c r="E115" s="16" t="s">
        <v>243</v>
      </c>
      <c r="F115" s="17"/>
      <c r="G115" s="17"/>
      <c r="H115" s="16"/>
      <c r="I115" s="32"/>
    </row>
    <row r="116" ht="21" customHeight="1" spans="1:9">
      <c r="A116" s="11">
        <v>111</v>
      </c>
      <c r="B116" s="18" t="s">
        <v>244</v>
      </c>
      <c r="C116" s="11">
        <v>7</v>
      </c>
      <c r="D116" s="11">
        <v>1</v>
      </c>
      <c r="E116" s="16" t="s">
        <v>245</v>
      </c>
      <c r="F116" s="17"/>
      <c r="G116" s="17"/>
      <c r="H116" s="18"/>
      <c r="I116" s="32"/>
    </row>
    <row r="117" ht="44.1" customHeight="1" spans="1:9">
      <c r="A117" s="11">
        <v>112</v>
      </c>
      <c r="B117" s="46" t="s">
        <v>246</v>
      </c>
      <c r="C117" s="11">
        <v>6</v>
      </c>
      <c r="D117" s="11">
        <v>1</v>
      </c>
      <c r="E117" s="16"/>
      <c r="F117" s="11">
        <v>7</v>
      </c>
      <c r="G117" s="11">
        <v>1</v>
      </c>
      <c r="H117" s="16" t="s">
        <v>245</v>
      </c>
      <c r="I117" s="32"/>
    </row>
    <row r="118" ht="54" spans="1:9">
      <c r="A118" s="11">
        <v>113</v>
      </c>
      <c r="B118" s="46" t="s">
        <v>247</v>
      </c>
      <c r="C118" s="14">
        <f t="shared" ref="C118:C120" si="29">D118+6</f>
        <v>6</v>
      </c>
      <c r="D118" s="11">
        <v>0</v>
      </c>
      <c r="E118" s="16"/>
      <c r="F118" s="11">
        <f t="shared" ref="F118:F119" si="30">G118+6</f>
        <v>22</v>
      </c>
      <c r="G118" s="11">
        <v>16</v>
      </c>
      <c r="H118" s="16" t="s">
        <v>248</v>
      </c>
      <c r="I118" s="32"/>
    </row>
    <row r="119" ht="54" spans="1:9">
      <c r="A119" s="11">
        <v>114</v>
      </c>
      <c r="B119" s="46" t="s">
        <v>249</v>
      </c>
      <c r="C119" s="11">
        <f t="shared" si="29"/>
        <v>6</v>
      </c>
      <c r="D119" s="11">
        <v>0</v>
      </c>
      <c r="E119" s="16"/>
      <c r="F119" s="11">
        <f t="shared" si="30"/>
        <v>22</v>
      </c>
      <c r="G119" s="11">
        <v>16</v>
      </c>
      <c r="H119" s="16" t="s">
        <v>250</v>
      </c>
      <c r="I119" s="32"/>
    </row>
    <row r="120" ht="33" customHeight="1" spans="1:9">
      <c r="A120" s="11">
        <v>115</v>
      </c>
      <c r="B120" s="27" t="s">
        <v>251</v>
      </c>
      <c r="C120" s="17">
        <f t="shared" si="29"/>
        <v>7</v>
      </c>
      <c r="D120" s="17">
        <v>1</v>
      </c>
      <c r="E120" s="16" t="s">
        <v>252</v>
      </c>
      <c r="F120" s="11"/>
      <c r="G120" s="17"/>
      <c r="H120" s="16"/>
      <c r="I120" s="32"/>
    </row>
    <row r="121" ht="42" customHeight="1" spans="1:9">
      <c r="A121" s="11">
        <v>116</v>
      </c>
      <c r="B121" s="47"/>
      <c r="C121" s="17"/>
      <c r="D121" s="11"/>
      <c r="E121" s="16"/>
      <c r="F121" s="11"/>
      <c r="G121" s="17"/>
      <c r="H121" s="16"/>
      <c r="I121" s="32"/>
    </row>
    <row r="122" ht="27" spans="1:9">
      <c r="A122" s="45">
        <v>117</v>
      </c>
      <c r="B122" s="18" t="s">
        <v>253</v>
      </c>
      <c r="C122" s="11">
        <v>7</v>
      </c>
      <c r="D122" s="11">
        <v>1</v>
      </c>
      <c r="E122" s="16" t="s">
        <v>254</v>
      </c>
      <c r="F122" s="17"/>
      <c r="G122" s="17"/>
      <c r="H122" s="18"/>
      <c r="I122" s="32"/>
    </row>
    <row r="123" ht="135.75" customHeight="1" spans="1:9">
      <c r="A123" s="11">
        <v>118</v>
      </c>
      <c r="B123" s="48" t="s">
        <v>255</v>
      </c>
      <c r="C123" s="49">
        <v>36</v>
      </c>
      <c r="D123" s="49">
        <v>30</v>
      </c>
      <c r="E123" s="50" t="s">
        <v>256</v>
      </c>
      <c r="F123" s="51"/>
      <c r="G123" s="51"/>
      <c r="H123" s="48"/>
      <c r="I123" s="53" t="s">
        <v>257</v>
      </c>
    </row>
    <row r="124" spans="1:9">
      <c r="A124" s="11">
        <v>119</v>
      </c>
      <c r="B124" s="48" t="s">
        <v>258</v>
      </c>
      <c r="C124" s="49">
        <v>6</v>
      </c>
      <c r="D124" s="49">
        <v>0</v>
      </c>
      <c r="E124" s="50"/>
      <c r="F124" s="51"/>
      <c r="G124" s="51"/>
      <c r="H124" s="48"/>
      <c r="I124" s="54"/>
    </row>
  </sheetData>
  <mergeCells count="6">
    <mergeCell ref="C1:E1"/>
    <mergeCell ref="F1:H1"/>
    <mergeCell ref="C73:D73"/>
    <mergeCell ref="A1:A2"/>
    <mergeCell ref="B1:B2"/>
    <mergeCell ref="I1:I2"/>
  </mergeCells>
  <pageMargins left="0.235416666666667" right="0.235416666666667" top="0.786805555555556" bottom="0.235416666666667" header="0" footer="0.313888888888889"/>
  <pageSetup paperSize="9" scale="99" orientation="portrait"/>
  <headerFooter alignWithMargins="0">
    <oddHeader>&amp;CUART指令表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数据包格式</vt:lpstr>
      <vt:lpstr>指令表B4=0（通用版)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1996-12-17T01:32:00Z</dcterms:created>
  <dcterms:modified xsi:type="dcterms:W3CDTF">2023-06-26T02:27:34Z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5AB36B447B864CF0B814D3F45F8BE515</vt:lpwstr>
  </property>
</Properties>
</file>